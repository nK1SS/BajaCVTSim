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6330b2efedf4a6c/Documents/Homework Files/SENOR DESIGN/BajaCVTSIM/BajaCVTSim_Complete/"/>
    </mc:Choice>
  </mc:AlternateContent>
  <xr:revisionPtr revIDLastSave="325" documentId="8_{183A638D-AA89-458C-8E68-1668C5C72777}" xr6:coauthVersionLast="47" xr6:coauthVersionMax="47" xr10:uidLastSave="{28BE5DCD-2B6D-40E5-8B3B-ABBAB496DCA1}"/>
  <bookViews>
    <workbookView xWindow="-110" yWindow="-110" windowWidth="25820" windowHeight="13900" activeTab="3" xr2:uid="{35FC93EA-5915-4506-BBA9-BA4DF5F2CD60}"/>
  </bookViews>
  <sheets>
    <sheet name="Variable Inputs" sheetId="1" r:id="rId1"/>
    <sheet name="Tuning Guide" sheetId="2" r:id="rId2"/>
    <sheet name="Help" sheetId="3" r:id="rId3"/>
    <sheet name="Te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 r="C11" i="1"/>
</calcChain>
</file>

<file path=xl/sharedStrings.xml><?xml version="1.0" encoding="utf-8"?>
<sst xmlns="http://schemas.openxmlformats.org/spreadsheetml/2006/main" count="129" uniqueCount="91">
  <si>
    <t>CVT MODEL DATA</t>
  </si>
  <si>
    <r>
      <t xml:space="preserve">Spring Contants - (Referenced: </t>
    </r>
    <r>
      <rPr>
        <b/>
        <i/>
        <sz val="11"/>
        <color theme="1"/>
        <rFont val="Aptos Narrow"/>
        <family val="2"/>
        <scheme val="minor"/>
      </rPr>
      <t>'Modeling and Tuning of CVT Systems for SAE Baja Vehicles'</t>
    </r>
    <r>
      <rPr>
        <b/>
        <sz val="11"/>
        <color theme="1"/>
        <rFont val="Aptos Narrow"/>
        <family val="2"/>
        <scheme val="minor"/>
      </rPr>
      <t>)</t>
    </r>
  </si>
  <si>
    <t>NAME</t>
  </si>
  <si>
    <t>VALUE</t>
  </si>
  <si>
    <t>UNITS</t>
  </si>
  <si>
    <t>NOTES</t>
  </si>
  <si>
    <t>Spring Color</t>
  </si>
  <si>
    <t>K_ls (lbf/in)</t>
  </si>
  <si>
    <t>K_tr (in*lbf/deg)</t>
  </si>
  <si>
    <t>BELT DATA</t>
  </si>
  <si>
    <t xml:space="preserve">PULLEY CENTER DISTANCE </t>
  </si>
  <si>
    <t>in</t>
  </si>
  <si>
    <t>Black</t>
  </si>
  <si>
    <t>N/A</t>
  </si>
  <si>
    <t>COEFFICIENT OF FRICTION FOR BELT</t>
  </si>
  <si>
    <t>-</t>
  </si>
  <si>
    <t>(RUBBER ON STEEL)</t>
  </si>
  <si>
    <t>Orange</t>
  </si>
  <si>
    <t>lbm</t>
  </si>
  <si>
    <t>Purple</t>
  </si>
  <si>
    <t>Yellow</t>
  </si>
  <si>
    <t>SET LOW  RATIO</t>
  </si>
  <si>
    <t>(SET BY MANUFACTURER)</t>
  </si>
  <si>
    <t>Red</t>
  </si>
  <si>
    <t>SET HIGH RATIO</t>
  </si>
  <si>
    <t>INITIAL PRIMARY PITCH RADIUS</t>
  </si>
  <si>
    <t>SECONDARY PRETENSION SETTINGS</t>
  </si>
  <si>
    <t>MAX PRIMARY PITCH RADIUS</t>
  </si>
  <si>
    <t>SETTING</t>
  </si>
  <si>
    <t>PRETENSION ANGLE</t>
  </si>
  <si>
    <t>deg</t>
  </si>
  <si>
    <t>INITIAL SECONDARY PITCH RADIUS</t>
  </si>
  <si>
    <t>PRIMARY SPRING DATA</t>
  </si>
  <si>
    <t xml:space="preserve">MAX LINEAR SPRING DISPLACEMENT </t>
  </si>
  <si>
    <t>INSTALLED LINEAR SPRING DISPLACEMENT</t>
  </si>
  <si>
    <t>PRIMARY FLYWEIGHT DATA</t>
  </si>
  <si>
    <t>NUMBER OF ARMS</t>
  </si>
  <si>
    <t>DISTANCE FROM CENTER LINE TO BASE OF LINK</t>
  </si>
  <si>
    <t>LINK LENGTH</t>
  </si>
  <si>
    <t>MASS OF LINK</t>
  </si>
  <si>
    <t>g</t>
  </si>
  <si>
    <t>(PER ARM)(INCLUDES ROLLER WEIGHT &amp; SCREW+NUT)</t>
  </si>
  <si>
    <t>KOHLER CH440 (RESTRICTED) ENGINE MODEL DATA</t>
  </si>
  <si>
    <t>ENGINE SPEED (rpm)</t>
  </si>
  <si>
    <t>NET TORQUE (ft*lbf)</t>
  </si>
  <si>
    <t>NET POWER (HP)</t>
  </si>
  <si>
    <t xml:space="preserve">MIN RADIUS FROM CENTERLINE TO FLYWEIGHT </t>
  </si>
  <si>
    <t>MAX RADIUS FROM CENTERLINE TO FLYWEIGHT</t>
  </si>
  <si>
    <t>SECONDARY SPRING DATA</t>
  </si>
  <si>
    <t>INSTALLED TORSIONAL SPRING DISPLACEMENT</t>
  </si>
  <si>
    <t>MAX TORSIONAL SPRING DEFLECTION</t>
  </si>
  <si>
    <t>SECONDARY CAM DATA</t>
  </si>
  <si>
    <t>RADIUS OF CENTERLINE TO ROLLER</t>
  </si>
  <si>
    <t>BAJA VEHICLE DATA</t>
  </si>
  <si>
    <t>TOTAL MASS OF VEHICLE</t>
  </si>
  <si>
    <t>FRONT AXLE DISTANCE TO CG</t>
  </si>
  <si>
    <t>REAR AXLE DISTANCE FROM CG</t>
  </si>
  <si>
    <t>CG ABOVE GROUND</t>
  </si>
  <si>
    <t>FROM AXLE</t>
  </si>
  <si>
    <t>ROLLING RADIUS</t>
  </si>
  <si>
    <t>GEAR REDUCTION</t>
  </si>
  <si>
    <t>TOTAL REDUCTION FROM CVT TO WHEELS</t>
  </si>
  <si>
    <t>rpm</t>
  </si>
  <si>
    <t>SHEAVE ANGLE</t>
  </si>
  <si>
    <t>MAX LINEAR SPRING DISPLACEMENT</t>
  </si>
  <si>
    <t>OBJECTIVES</t>
  </si>
  <si>
    <t>STRAIGHT SHIFT RPM</t>
  </si>
  <si>
    <t>LOW RATIO ENGAGEMENT RPM</t>
  </si>
  <si>
    <t>IDLE SPEED</t>
  </si>
  <si>
    <t>REDLINE SPEED</t>
  </si>
  <si>
    <t>SET AT MAX HORSEPOWER</t>
  </si>
  <si>
    <t>SET AT MAX TORQUE</t>
  </si>
  <si>
    <t>MIN SECONDARY PITCH RADIUS</t>
  </si>
  <si>
    <t>How to Run Simulation</t>
  </si>
  <si>
    <t>Step</t>
  </si>
  <si>
    <t>Process</t>
  </si>
  <si>
    <r>
      <t xml:space="preserve">Use the </t>
    </r>
    <r>
      <rPr>
        <i/>
        <sz val="11"/>
        <color theme="1"/>
        <rFont val="Aptos Narrow"/>
        <family val="2"/>
        <scheme val="minor"/>
      </rPr>
      <t>numerical edit</t>
    </r>
    <r>
      <rPr>
        <sz val="11"/>
        <color theme="1"/>
        <rFont val="Aptos Narrow"/>
        <family val="2"/>
        <scheme val="minor"/>
      </rPr>
      <t xml:space="preserve"> &amp; </t>
    </r>
    <r>
      <rPr>
        <i/>
        <sz val="11"/>
        <color theme="1"/>
        <rFont val="Aptos Narrow"/>
        <family val="2"/>
        <scheme val="minor"/>
      </rPr>
      <t xml:space="preserve">drop down </t>
    </r>
    <r>
      <rPr>
        <sz val="11"/>
        <color theme="1"/>
        <rFont val="Aptos Narrow"/>
        <family val="2"/>
        <scheme val="minor"/>
      </rPr>
      <t>boxes located in the center of the interface to choose what tuning variables the user wants to simulate.</t>
    </r>
  </si>
  <si>
    <r>
      <t xml:space="preserve">To start a new trial with different variables, simply choose the variables from the </t>
    </r>
    <r>
      <rPr>
        <i/>
        <sz val="11"/>
        <color theme="1"/>
        <rFont val="Aptos Narrow"/>
        <family val="2"/>
        <scheme val="minor"/>
      </rPr>
      <t>numerical edit &amp; drop down</t>
    </r>
    <r>
      <rPr>
        <sz val="11"/>
        <color theme="1"/>
        <rFont val="Aptos Narrow"/>
        <family val="2"/>
        <scheme val="minor"/>
      </rPr>
      <t xml:space="preserve"> boxes and select the</t>
    </r>
    <r>
      <rPr>
        <i/>
        <sz val="11"/>
        <color theme="1"/>
        <rFont val="Aptos Narrow"/>
        <family val="2"/>
        <scheme val="minor"/>
      </rPr>
      <t xml:space="preserve"> Run Analysis</t>
    </r>
    <r>
      <rPr>
        <sz val="11"/>
        <color theme="1"/>
        <rFont val="Aptos Narrow"/>
        <family val="2"/>
        <scheme val="minor"/>
      </rPr>
      <t xml:space="preserve"> button.</t>
    </r>
  </si>
  <si>
    <t>Errors</t>
  </si>
  <si>
    <r>
      <t>Use the</t>
    </r>
    <r>
      <rPr>
        <i/>
        <sz val="11"/>
        <color theme="1"/>
        <rFont val="Aptos Narrow"/>
        <family val="2"/>
        <scheme val="minor"/>
      </rPr>
      <t xml:space="preserve"> Run Analysis </t>
    </r>
    <r>
      <rPr>
        <sz val="11"/>
        <color theme="1"/>
        <rFont val="Aptos Narrow"/>
        <family val="2"/>
        <scheme val="minor"/>
      </rPr>
      <t>button located in the top left of the interface to begin simulation.</t>
    </r>
  </si>
  <si>
    <r>
      <t xml:space="preserve">On Simulation completion, the </t>
    </r>
    <r>
      <rPr>
        <i/>
        <sz val="11"/>
        <color theme="1"/>
        <rFont val="Aptos Narrow"/>
        <family val="2"/>
        <scheme val="minor"/>
      </rPr>
      <t>Run Analysis</t>
    </r>
    <r>
      <rPr>
        <sz val="11"/>
        <color theme="1"/>
        <rFont val="Aptos Narrow"/>
        <family val="2"/>
        <scheme val="minor"/>
      </rPr>
      <t xml:space="preserve"> button will turn </t>
    </r>
    <r>
      <rPr>
        <b/>
        <sz val="11"/>
        <color theme="1"/>
        <rFont val="Aptos Narrow"/>
        <family val="2"/>
        <scheme val="minor"/>
      </rPr>
      <t>green</t>
    </r>
    <r>
      <rPr>
        <sz val="11"/>
        <color theme="1"/>
        <rFont val="Aptos Narrow"/>
        <family val="2"/>
        <scheme val="minor"/>
      </rPr>
      <t xml:space="preserve">. The plots will display the results of the simulation. The disabled buttons on the left side of the interface will now be interactable. </t>
    </r>
  </si>
  <si>
    <r>
      <t>The</t>
    </r>
    <r>
      <rPr>
        <i/>
        <sz val="11"/>
        <color theme="1"/>
        <rFont val="Aptos Narrow"/>
        <family val="2"/>
        <scheme val="minor"/>
      </rPr>
      <t xml:space="preserve"> Run Analysis</t>
    </r>
    <r>
      <rPr>
        <sz val="11"/>
        <color theme="1"/>
        <rFont val="Aptos Narrow"/>
        <family val="2"/>
        <scheme val="minor"/>
      </rPr>
      <t xml:space="preserve"> button will turn </t>
    </r>
    <r>
      <rPr>
        <b/>
        <sz val="11"/>
        <color theme="1"/>
        <rFont val="Aptos Narrow"/>
        <family val="2"/>
        <scheme val="minor"/>
      </rPr>
      <t>yellow</t>
    </r>
    <r>
      <rPr>
        <sz val="11"/>
        <color theme="1"/>
        <rFont val="Aptos Narrow"/>
        <family val="2"/>
        <scheme val="minor"/>
      </rPr>
      <t xml:space="preserve"> when the simulation is running. Simulation run time can vary depending on the variables chosen. Note that the first trial will have increased simulation time.</t>
    </r>
  </si>
  <si>
    <r>
      <t xml:space="preserve">Some combinations of variables can cause the simulation to crash. If this occurs, the simulation will be stuck on the 'Running' stage of the simulation. In the MATLAB command window, an error will display. Run the </t>
    </r>
    <r>
      <rPr>
        <i/>
        <sz val="11"/>
        <color theme="1"/>
        <rFont val="Aptos Narrow"/>
        <family val="2"/>
        <scheme val="minor"/>
      </rPr>
      <t>BajaCVTSim_RUN.m</t>
    </r>
    <r>
      <rPr>
        <sz val="11"/>
        <color theme="1"/>
        <rFont val="Aptos Narrow"/>
        <family val="2"/>
        <scheme val="minor"/>
      </rPr>
      <t xml:space="preserve"> script to reload the current interface.</t>
    </r>
  </si>
  <si>
    <t>RUN</t>
  </si>
  <si>
    <t>MASS</t>
  </si>
  <si>
    <t>RAMP</t>
  </si>
  <si>
    <t>HELIX</t>
  </si>
  <si>
    <t>P-SPRING</t>
  </si>
  <si>
    <t>S-SPRING</t>
  </si>
  <si>
    <t>PRE-TENSION</t>
  </si>
  <si>
    <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</si>
</sst>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i/>
      <sz val="11"/>
      <color theme="1"/>
      <name val="Aptos Narrow"/>
      <family val="2"/>
      <scheme val="minor"/>
    </font>
    <font>
      <sz val="8"/>
      <name val="Aptos Narrow"/>
      <family val="2"/>
      <scheme val="minor"/>
    </font>
    <font>
      <b/>
      <sz val="24"/>
      <color theme="1"/>
      <name val="Aptos Narrow"/>
      <family val="2"/>
      <scheme val="minor"/>
    </font>
    <font>
      <b/>
      <u/>
      <sz val="11"/>
      <color theme="1"/>
      <name val="Aptos Narrow"/>
      <family val="2"/>
      <scheme val="minor"/>
    </font>
    <font>
      <i/>
      <sz val="11"/>
      <color theme="1"/>
      <name val="Aptos Narrow"/>
      <family val="2"/>
      <scheme val="minor"/>
    </font>
    <font>
      <sz val="22"/>
      <color theme="1"/>
      <name val="Aptos Narrow"/>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bgColor indexed="64"/>
      </patternFill>
    </fill>
    <fill>
      <patternFill patternType="solid">
        <fgColor theme="1"/>
        <bgColor indexed="64"/>
      </patternFill>
    </fill>
    <fill>
      <patternFill patternType="solid">
        <fgColor rgb="FFFF0000"/>
        <bgColor indexed="64"/>
      </patternFill>
    </fill>
    <fill>
      <patternFill patternType="solid">
        <fgColor theme="5"/>
        <bgColor indexed="64"/>
      </patternFill>
    </fill>
    <fill>
      <patternFill patternType="solid">
        <fgColor theme="8"/>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32">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2" borderId="1" xfId="0" applyFill="1"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3" borderId="8" xfId="0" applyFill="1" applyBorder="1" applyAlignment="1">
      <alignment horizontal="center"/>
    </xf>
    <xf numFmtId="0" fontId="0" fillId="3" borderId="3"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5" borderId="6" xfId="0" applyFill="1" applyBorder="1" applyAlignment="1">
      <alignment horizontal="center"/>
    </xf>
    <xf numFmtId="0" fontId="0" fillId="6" borderId="1" xfId="0" applyFill="1" applyBorder="1" applyAlignment="1">
      <alignment horizontal="center"/>
    </xf>
    <xf numFmtId="0" fontId="0" fillId="6" borderId="6" xfId="0" applyFill="1" applyBorder="1" applyAlignment="1">
      <alignment horizontal="center"/>
    </xf>
    <xf numFmtId="0" fontId="0" fillId="7" borderId="1" xfId="0" applyFill="1" applyBorder="1" applyAlignment="1">
      <alignment horizontal="center"/>
    </xf>
    <xf numFmtId="0" fontId="0" fillId="7" borderId="6" xfId="0" applyFill="1" applyBorder="1" applyAlignment="1">
      <alignment horizontal="center"/>
    </xf>
    <xf numFmtId="0" fontId="0" fillId="4" borderId="3" xfId="0" applyFill="1" applyBorder="1" applyAlignment="1">
      <alignment horizontal="center"/>
    </xf>
    <xf numFmtId="0" fontId="0" fillId="4" borderId="8" xfId="0" applyFill="1" applyBorder="1" applyAlignment="1">
      <alignment horizontal="center"/>
    </xf>
    <xf numFmtId="0" fontId="0" fillId="5" borderId="3" xfId="0" applyFill="1" applyBorder="1" applyAlignment="1">
      <alignment horizontal="center"/>
    </xf>
    <xf numFmtId="0" fontId="0" fillId="6" borderId="3"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9"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0" fillId="4" borderId="2"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4" borderId="7" xfId="0" applyFill="1" applyBorder="1" applyAlignment="1">
      <alignment horizontal="center"/>
    </xf>
    <xf numFmtId="0" fontId="0" fillId="4" borderId="9" xfId="0" applyFill="1" applyBorder="1" applyAlignment="1">
      <alignment horizontal="center"/>
    </xf>
    <xf numFmtId="0" fontId="0" fillId="5" borderId="2" xfId="0" applyFill="1" applyBorder="1" applyAlignment="1">
      <alignment horizontal="center"/>
    </xf>
    <xf numFmtId="0" fontId="0" fillId="5" borderId="4" xfId="0" applyFill="1" applyBorder="1" applyAlignment="1">
      <alignment horizontal="center"/>
    </xf>
    <xf numFmtId="0" fontId="0" fillId="6" borderId="2" xfId="0" applyFill="1" applyBorder="1" applyAlignment="1">
      <alignment horizontal="center"/>
    </xf>
    <xf numFmtId="0" fontId="0" fillId="6" borderId="7" xfId="0" applyFill="1" applyBorder="1" applyAlignment="1">
      <alignment horizontal="center"/>
    </xf>
    <xf numFmtId="0" fontId="0" fillId="7" borderId="2" xfId="0" applyFill="1" applyBorder="1" applyAlignment="1">
      <alignment horizontal="center"/>
    </xf>
    <xf numFmtId="0" fontId="0" fillId="3" borderId="0" xfId="0" applyFill="1" applyAlignment="1">
      <alignment horizontal="center"/>
    </xf>
    <xf numFmtId="0" fontId="1" fillId="0" borderId="0" xfId="0" applyFont="1" applyAlignment="1">
      <alignment horizontal="center"/>
    </xf>
    <xf numFmtId="0" fontId="1" fillId="0" borderId="0" xfId="0" applyFont="1"/>
    <xf numFmtId="0" fontId="0" fillId="9" borderId="10"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9" borderId="5" xfId="0" applyFill="1" applyBorder="1" applyAlignment="1">
      <alignment horizontal="center"/>
    </xf>
    <xf numFmtId="0" fontId="0" fillId="9" borderId="1" xfId="0" applyFill="1" applyBorder="1" applyAlignment="1">
      <alignment horizontal="center"/>
    </xf>
    <xf numFmtId="0" fontId="0" fillId="9" borderId="6" xfId="0" applyFill="1" applyBorder="1" applyAlignment="1">
      <alignment horizontal="center"/>
    </xf>
    <xf numFmtId="0" fontId="0" fillId="2" borderId="11" xfId="0" applyFill="1" applyBorder="1" applyAlignment="1">
      <alignment horizontal="center"/>
    </xf>
    <xf numFmtId="2" fontId="0" fillId="2" borderId="1" xfId="0" applyNumberFormat="1" applyFill="1" applyBorder="1" applyAlignment="1">
      <alignment horizontal="center"/>
    </xf>
    <xf numFmtId="0" fontId="0" fillId="10" borderId="23" xfId="0" applyFill="1" applyBorder="1" applyAlignment="1">
      <alignment horizontal="center"/>
    </xf>
    <xf numFmtId="0" fontId="0" fillId="10" borderId="1" xfId="0" applyFill="1" applyBorder="1" applyAlignment="1">
      <alignment horizontal="center"/>
    </xf>
    <xf numFmtId="0" fontId="0" fillId="10" borderId="6" xfId="0" applyFill="1" applyBorder="1" applyAlignment="1">
      <alignment horizontal="center"/>
    </xf>
    <xf numFmtId="0" fontId="0" fillId="10" borderId="24"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0" fillId="9" borderId="25" xfId="0" applyFill="1" applyBorder="1" applyAlignment="1">
      <alignment horizontal="center"/>
    </xf>
    <xf numFmtId="0" fontId="0" fillId="2" borderId="26" xfId="0" applyFill="1" applyBorder="1" applyAlignment="1">
      <alignment horizontal="center"/>
    </xf>
    <xf numFmtId="0" fontId="0" fillId="9" borderId="26" xfId="0" applyFill="1" applyBorder="1" applyAlignment="1">
      <alignment horizontal="center"/>
    </xf>
    <xf numFmtId="0" fontId="0" fillId="9" borderId="27" xfId="0" applyFill="1" applyBorder="1" applyAlignment="1">
      <alignment horizontal="center"/>
    </xf>
    <xf numFmtId="0" fontId="0" fillId="10" borderId="28" xfId="0" applyFill="1" applyBorder="1" applyAlignment="1">
      <alignment horizontal="center"/>
    </xf>
    <xf numFmtId="0" fontId="0" fillId="10" borderId="3" xfId="0" applyFill="1" applyBorder="1" applyAlignment="1">
      <alignment horizontal="center"/>
    </xf>
    <xf numFmtId="0" fontId="0" fillId="10" borderId="4" xfId="0" applyFill="1" applyBorder="1" applyAlignment="1">
      <alignment horizontal="center"/>
    </xf>
    <xf numFmtId="0" fontId="1" fillId="8" borderId="29" xfId="0" applyFont="1" applyFill="1" applyBorder="1" applyAlignment="1">
      <alignment horizontal="center" vertical="center" wrapText="1"/>
    </xf>
    <xf numFmtId="0" fontId="0" fillId="8" borderId="30" xfId="0" applyFill="1" applyBorder="1" applyAlignment="1">
      <alignment horizontal="center" vertical="center"/>
    </xf>
    <xf numFmtId="0" fontId="0" fillId="2" borderId="31" xfId="0" applyFill="1" applyBorder="1" applyAlignment="1">
      <alignment horizontal="center" vertical="center"/>
    </xf>
    <xf numFmtId="0" fontId="0" fillId="8" borderId="31" xfId="0" applyFill="1" applyBorder="1" applyAlignment="1">
      <alignment horizontal="center" vertical="center"/>
    </xf>
    <xf numFmtId="0" fontId="0" fillId="8" borderId="32" xfId="0" applyFill="1" applyBorder="1" applyAlignment="1">
      <alignment horizontal="center" vertical="center"/>
    </xf>
    <xf numFmtId="0" fontId="4" fillId="0" borderId="0" xfId="0" applyFont="1" applyAlignment="1">
      <alignment vertical="center"/>
    </xf>
    <xf numFmtId="0" fontId="0" fillId="0" borderId="18" xfId="0" applyBorder="1" applyAlignment="1">
      <alignment horizontal="center"/>
    </xf>
    <xf numFmtId="0" fontId="0" fillId="11" borderId="34" xfId="0" applyFill="1" applyBorder="1" applyAlignment="1">
      <alignment horizontal="center" vertical="center" wrapText="1"/>
    </xf>
    <xf numFmtId="0" fontId="0" fillId="0" borderId="35" xfId="0" applyBorder="1" applyAlignment="1">
      <alignment horizontal="center" vertical="center" wrapText="1"/>
    </xf>
    <xf numFmtId="0" fontId="0" fillId="11" borderId="35" xfId="0" applyFill="1" applyBorder="1" applyAlignment="1">
      <alignment horizontal="center" vertical="center" wrapText="1"/>
    </xf>
    <xf numFmtId="0" fontId="0" fillId="4" borderId="36" xfId="0" applyFill="1" applyBorder="1" applyAlignment="1">
      <alignment horizontal="center" vertical="center" wrapText="1"/>
    </xf>
    <xf numFmtId="0" fontId="0" fillId="0" borderId="29" xfId="0" applyBorder="1" applyAlignment="1">
      <alignment horizontal="center"/>
    </xf>
    <xf numFmtId="0" fontId="0" fillId="11" borderId="22" xfId="0" applyFill="1" applyBorder="1" applyAlignment="1">
      <alignment horizontal="center" vertical="center"/>
    </xf>
    <xf numFmtId="0" fontId="0" fillId="0" borderId="37" xfId="0" applyBorder="1" applyAlignment="1">
      <alignment horizontal="center" vertical="center"/>
    </xf>
    <xf numFmtId="0" fontId="0" fillId="11" borderId="37" xfId="0" applyFill="1" applyBorder="1" applyAlignment="1">
      <alignment horizontal="center" vertical="center"/>
    </xf>
    <xf numFmtId="0" fontId="0" fillId="4" borderId="38" xfId="0" applyFill="1" applyBorder="1" applyAlignment="1">
      <alignment horizontal="center" vertical="center"/>
    </xf>
    <xf numFmtId="0" fontId="0" fillId="15" borderId="1" xfId="0" applyFill="1" applyBorder="1" applyAlignment="1">
      <alignment horizontal="center"/>
    </xf>
    <xf numFmtId="0" fontId="0" fillId="16" borderId="1" xfId="0" applyFill="1" applyBorder="1" applyAlignment="1">
      <alignment horizontal="center"/>
    </xf>
    <xf numFmtId="0" fontId="0" fillId="13" borderId="1" xfId="0" applyFill="1" applyBorder="1" applyAlignment="1">
      <alignment horizontal="center"/>
    </xf>
    <xf numFmtId="0" fontId="0" fillId="14" borderId="1" xfId="0" applyFill="1" applyBorder="1" applyAlignment="1">
      <alignment horizontal="center"/>
    </xf>
    <xf numFmtId="0" fontId="0" fillId="13" borderId="1" xfId="0" applyFill="1" applyBorder="1"/>
    <xf numFmtId="0" fontId="0" fillId="14" borderId="1" xfId="0" applyFill="1" applyBorder="1"/>
    <xf numFmtId="0" fontId="1" fillId="9" borderId="19" xfId="0" applyFont="1" applyFill="1" applyBorder="1" applyAlignment="1">
      <alignment horizontal="center" vertical="center"/>
    </xf>
    <xf numFmtId="0" fontId="1" fillId="9" borderId="21" xfId="0" applyFont="1" applyFill="1" applyBorder="1" applyAlignment="1">
      <alignment horizontal="center" vertical="center"/>
    </xf>
    <xf numFmtId="0" fontId="1" fillId="9" borderId="20" xfId="0" applyFont="1" applyFill="1" applyBorder="1" applyAlignment="1">
      <alignment horizontal="center" vertical="center"/>
    </xf>
    <xf numFmtId="0" fontId="1" fillId="10" borderId="19" xfId="0" applyFont="1" applyFill="1" applyBorder="1" applyAlignment="1">
      <alignment horizontal="center" vertical="center"/>
    </xf>
    <xf numFmtId="0" fontId="1" fillId="10" borderId="21" xfId="0" applyFont="1" applyFill="1" applyBorder="1" applyAlignment="1">
      <alignment horizontal="center" vertical="center"/>
    </xf>
    <xf numFmtId="0" fontId="1" fillId="10" borderId="20" xfId="0" applyFont="1" applyFill="1" applyBorder="1" applyAlignment="1">
      <alignment horizontal="center" vertical="center"/>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4" borderId="19"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4" borderId="22" xfId="0" applyFont="1" applyFill="1" applyBorder="1" applyAlignment="1">
      <alignment horizontal="center" vertical="center" wrapText="1"/>
    </xf>
    <xf numFmtId="0" fontId="0" fillId="0" borderId="19" xfId="0" applyBorder="1" applyAlignment="1">
      <alignment horizontal="center"/>
    </xf>
    <xf numFmtId="0" fontId="0" fillId="0" borderId="20" xfId="0" applyBorder="1" applyAlignment="1">
      <alignment horizontal="center"/>
    </xf>
    <xf numFmtId="0" fontId="1" fillId="5" borderId="19"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1" fillId="6" borderId="19" xfId="0" applyFont="1" applyFill="1" applyBorder="1" applyAlignment="1">
      <alignment horizontal="center" vertical="center" wrapText="1"/>
    </xf>
    <xf numFmtId="0" fontId="1" fillId="6" borderId="21"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1" fillId="7" borderId="20" xfId="0" applyFont="1" applyFill="1" applyBorder="1" applyAlignment="1">
      <alignment horizontal="center" vertical="center" wrapText="1"/>
    </xf>
    <xf numFmtId="0" fontId="5" fillId="0" borderId="33" xfId="0" applyFont="1" applyBorder="1" applyAlignment="1">
      <alignment horizontal="center"/>
    </xf>
    <xf numFmtId="0" fontId="5" fillId="0" borderId="32" xfId="0" applyFont="1" applyBorder="1" applyAlignment="1">
      <alignment horizontal="center"/>
    </xf>
    <xf numFmtId="0" fontId="0" fillId="2" borderId="1" xfId="0" applyFill="1" applyBorder="1"/>
    <xf numFmtId="0" fontId="7" fillId="0" borderId="0" xfId="0" applyFont="1" applyFill="1" applyBorder="1" applyAlignment="1">
      <alignment vertical="center" wrapText="1"/>
    </xf>
    <xf numFmtId="0" fontId="1" fillId="0" borderId="33" xfId="0" applyFont="1" applyBorder="1" applyAlignment="1">
      <alignment horizontal="center"/>
    </xf>
    <xf numFmtId="0" fontId="1" fillId="0" borderId="31" xfId="0" applyFont="1" applyBorder="1" applyAlignment="1">
      <alignment horizontal="center"/>
    </xf>
    <xf numFmtId="0" fontId="1" fillId="0" borderId="32" xfId="0" applyFont="1" applyBorder="1" applyAlignment="1">
      <alignment horizontal="center"/>
    </xf>
    <xf numFmtId="0" fontId="0" fillId="13" borderId="3" xfId="0" applyFill="1" applyBorder="1" applyAlignment="1">
      <alignment horizontal="center"/>
    </xf>
    <xf numFmtId="0" fontId="0" fillId="14" borderId="3" xfId="0" applyFill="1" applyBorder="1" applyAlignment="1">
      <alignment horizontal="center"/>
    </xf>
    <xf numFmtId="0" fontId="0" fillId="14" borderId="4" xfId="0" applyFill="1" applyBorder="1"/>
    <xf numFmtId="0" fontId="0" fillId="12" borderId="6" xfId="0" applyFill="1" applyBorder="1"/>
    <xf numFmtId="0" fontId="0" fillId="14" borderId="6" xfId="0" applyFill="1" applyBorder="1"/>
    <xf numFmtId="0" fontId="0" fillId="16" borderId="8" xfId="0" applyFill="1" applyBorder="1" applyAlignment="1">
      <alignment horizontal="center"/>
    </xf>
    <xf numFmtId="0" fontId="0" fillId="2" borderId="8" xfId="0" applyFill="1" applyBorder="1"/>
    <xf numFmtId="0" fontId="0" fillId="12" borderId="9" xfId="0" applyFill="1" applyBorder="1"/>
  </cellXfs>
  <cellStyles count="1">
    <cellStyle name="Normal" xfId="0" builtinId="0"/>
  </cellStyles>
  <dxfs count="0"/>
  <tableStyles count="0" defaultTableStyle="TableStyleMedium2" defaultPivotStyle="PivotStyleLight16"/>
  <colors>
    <mruColors>
      <color rgb="FF606060"/>
      <color rgb="FF313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Kohler</a:t>
            </a:r>
            <a:r>
              <a:rPr lang="en-US" baseline="0"/>
              <a:t> CH440 Engine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'Variable Inputs'!$H$22</c:f>
              <c:strCache>
                <c:ptCount val="1"/>
                <c:pt idx="0">
                  <c:v>NET TORQUE (ft*lbf)</c:v>
                </c:pt>
              </c:strCache>
            </c:strRef>
          </c:tx>
          <c:spPr>
            <a:ln w="19050" cap="rnd">
              <a:solidFill>
                <a:schemeClr val="accent1"/>
              </a:solidFill>
              <a:round/>
            </a:ln>
            <a:effectLst/>
          </c:spPr>
          <c:marker>
            <c:symbol val="none"/>
          </c:marker>
          <c:cat>
            <c:numRef>
              <c:f>'Variable Inputs'!$G$23:$G$34</c:f>
              <c:numCache>
                <c:formatCode>General</c:formatCode>
                <c:ptCount val="12"/>
                <c:pt idx="0">
                  <c:v>1600</c:v>
                </c:pt>
                <c:pt idx="1">
                  <c:v>1800</c:v>
                </c:pt>
                <c:pt idx="2">
                  <c:v>2000</c:v>
                </c:pt>
                <c:pt idx="3">
                  <c:v>2200</c:v>
                </c:pt>
                <c:pt idx="4">
                  <c:v>2400</c:v>
                </c:pt>
                <c:pt idx="5">
                  <c:v>2600</c:v>
                </c:pt>
                <c:pt idx="6">
                  <c:v>2800</c:v>
                </c:pt>
                <c:pt idx="7">
                  <c:v>3000</c:v>
                </c:pt>
                <c:pt idx="8">
                  <c:v>3200</c:v>
                </c:pt>
                <c:pt idx="9">
                  <c:v>3400</c:v>
                </c:pt>
                <c:pt idx="10">
                  <c:v>3600</c:v>
                </c:pt>
                <c:pt idx="11">
                  <c:v>4000</c:v>
                </c:pt>
              </c:numCache>
            </c:numRef>
          </c:cat>
          <c:val>
            <c:numRef>
              <c:f>'Variable Inputs'!$H$23:$H$34</c:f>
              <c:numCache>
                <c:formatCode>General</c:formatCode>
                <c:ptCount val="12"/>
                <c:pt idx="0">
                  <c:v>15.4</c:v>
                </c:pt>
                <c:pt idx="1">
                  <c:v>16.5</c:v>
                </c:pt>
                <c:pt idx="2">
                  <c:v>17.5</c:v>
                </c:pt>
                <c:pt idx="3">
                  <c:v>18.2</c:v>
                </c:pt>
                <c:pt idx="4">
                  <c:v>18.5</c:v>
                </c:pt>
                <c:pt idx="5">
                  <c:v>18.100000000000001</c:v>
                </c:pt>
                <c:pt idx="6">
                  <c:v>17.399999999999999</c:v>
                </c:pt>
                <c:pt idx="7">
                  <c:v>16.600000000000001</c:v>
                </c:pt>
                <c:pt idx="8">
                  <c:v>15.4</c:v>
                </c:pt>
                <c:pt idx="9">
                  <c:v>14.5</c:v>
                </c:pt>
                <c:pt idx="10">
                  <c:v>13.5</c:v>
                </c:pt>
                <c:pt idx="11">
                  <c:v>10</c:v>
                </c:pt>
              </c:numCache>
            </c:numRef>
          </c:val>
          <c:smooth val="0"/>
          <c:extLst>
            <c:ext xmlns:c16="http://schemas.microsoft.com/office/drawing/2014/chart" uri="{C3380CC4-5D6E-409C-BE32-E72D297353CC}">
              <c16:uniqueId val="{00000000-5458-4F05-8008-EDBEAFF59DF4}"/>
            </c:ext>
          </c:extLst>
        </c:ser>
        <c:dLbls>
          <c:showLegendKey val="0"/>
          <c:showVal val="0"/>
          <c:showCatName val="0"/>
          <c:showSerName val="0"/>
          <c:showPercent val="0"/>
          <c:showBubbleSize val="0"/>
        </c:dLbls>
        <c:marker val="1"/>
        <c:smooth val="0"/>
        <c:axId val="319814224"/>
        <c:axId val="807114976"/>
      </c:lineChart>
      <c:lineChart>
        <c:grouping val="standard"/>
        <c:varyColors val="0"/>
        <c:ser>
          <c:idx val="1"/>
          <c:order val="1"/>
          <c:tx>
            <c:strRef>
              <c:f>'Variable Inputs'!$I$22</c:f>
              <c:strCache>
                <c:ptCount val="1"/>
                <c:pt idx="0">
                  <c:v>NET POWER (HP)</c:v>
                </c:pt>
              </c:strCache>
            </c:strRef>
          </c:tx>
          <c:spPr>
            <a:ln w="19050" cap="rnd">
              <a:solidFill>
                <a:schemeClr val="accent2"/>
              </a:solidFill>
              <a:round/>
            </a:ln>
            <a:effectLst/>
          </c:spPr>
          <c:marker>
            <c:symbol val="none"/>
          </c:marker>
          <c:cat>
            <c:numRef>
              <c:f>'Variable Inputs'!$G$23:$G$34</c:f>
              <c:numCache>
                <c:formatCode>General</c:formatCode>
                <c:ptCount val="12"/>
                <c:pt idx="0">
                  <c:v>1600</c:v>
                </c:pt>
                <c:pt idx="1">
                  <c:v>1800</c:v>
                </c:pt>
                <c:pt idx="2">
                  <c:v>2000</c:v>
                </c:pt>
                <c:pt idx="3">
                  <c:v>2200</c:v>
                </c:pt>
                <c:pt idx="4">
                  <c:v>2400</c:v>
                </c:pt>
                <c:pt idx="5">
                  <c:v>2600</c:v>
                </c:pt>
                <c:pt idx="6">
                  <c:v>2800</c:v>
                </c:pt>
                <c:pt idx="7">
                  <c:v>3000</c:v>
                </c:pt>
                <c:pt idx="8">
                  <c:v>3200</c:v>
                </c:pt>
                <c:pt idx="9">
                  <c:v>3400</c:v>
                </c:pt>
                <c:pt idx="10">
                  <c:v>3600</c:v>
                </c:pt>
                <c:pt idx="11">
                  <c:v>4000</c:v>
                </c:pt>
              </c:numCache>
            </c:numRef>
          </c:cat>
          <c:val>
            <c:numRef>
              <c:f>'Variable Inputs'!$I$23:$I$34</c:f>
              <c:numCache>
                <c:formatCode>General</c:formatCode>
                <c:ptCount val="12"/>
                <c:pt idx="0">
                  <c:v>4.7</c:v>
                </c:pt>
                <c:pt idx="1">
                  <c:v>5.8</c:v>
                </c:pt>
                <c:pt idx="2">
                  <c:v>6.8</c:v>
                </c:pt>
                <c:pt idx="3">
                  <c:v>7.6</c:v>
                </c:pt>
                <c:pt idx="4">
                  <c:v>8.5</c:v>
                </c:pt>
                <c:pt idx="5">
                  <c:v>9</c:v>
                </c:pt>
                <c:pt idx="6">
                  <c:v>9.3000000000000007</c:v>
                </c:pt>
                <c:pt idx="7">
                  <c:v>9.5</c:v>
                </c:pt>
                <c:pt idx="8">
                  <c:v>9.4499999999999993</c:v>
                </c:pt>
                <c:pt idx="9">
                  <c:v>9.4</c:v>
                </c:pt>
                <c:pt idx="10">
                  <c:v>9.3000000000000007</c:v>
                </c:pt>
                <c:pt idx="11">
                  <c:v>9</c:v>
                </c:pt>
              </c:numCache>
            </c:numRef>
          </c:val>
          <c:smooth val="0"/>
          <c:extLst>
            <c:ext xmlns:c16="http://schemas.microsoft.com/office/drawing/2014/chart" uri="{C3380CC4-5D6E-409C-BE32-E72D297353CC}">
              <c16:uniqueId val="{00000001-5458-4F05-8008-EDBEAFF59DF4}"/>
            </c:ext>
          </c:extLst>
        </c:ser>
        <c:dLbls>
          <c:showLegendKey val="0"/>
          <c:showVal val="0"/>
          <c:showCatName val="0"/>
          <c:showSerName val="0"/>
          <c:showPercent val="0"/>
          <c:showBubbleSize val="0"/>
        </c:dLbls>
        <c:marker val="1"/>
        <c:smooth val="0"/>
        <c:axId val="810759424"/>
        <c:axId val="2006202064"/>
      </c:lineChart>
      <c:catAx>
        <c:axId val="319814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Engine</a:t>
                </a:r>
                <a:r>
                  <a:rPr lang="en-US" baseline="0"/>
                  <a:t> Speed (RPM)</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14976"/>
        <c:crosses val="autoZero"/>
        <c:auto val="1"/>
        <c:lblAlgn val="ctr"/>
        <c:lblOffset val="100"/>
        <c:noMultiLvlLbl val="0"/>
      </c:catAx>
      <c:valAx>
        <c:axId val="80711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Torque</a:t>
                </a:r>
                <a:r>
                  <a:rPr lang="en-US" baseline="0"/>
                  <a:t> (ft*lbf)</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814224"/>
        <c:crosses val="autoZero"/>
        <c:crossBetween val="between"/>
      </c:valAx>
      <c:valAx>
        <c:axId val="20062020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 (HP)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759424"/>
        <c:crosses val="max"/>
        <c:crossBetween val="between"/>
      </c:valAx>
      <c:catAx>
        <c:axId val="810759424"/>
        <c:scaling>
          <c:orientation val="minMax"/>
        </c:scaling>
        <c:delete val="1"/>
        <c:axPos val="b"/>
        <c:numFmt formatCode="General" sourceLinked="1"/>
        <c:majorTickMark val="out"/>
        <c:minorTickMark val="none"/>
        <c:tickLblPos val="nextTo"/>
        <c:crossAx val="2006202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728955</xdr:colOff>
      <xdr:row>34</xdr:row>
      <xdr:rowOff>29157</xdr:rowOff>
    </xdr:from>
    <xdr:to>
      <xdr:col>9</xdr:col>
      <xdr:colOff>61947</xdr:colOff>
      <xdr:row>52</xdr:row>
      <xdr:rowOff>145790</xdr:rowOff>
    </xdr:to>
    <xdr:graphicFrame macro="">
      <xdr:nvGraphicFramePr>
        <xdr:cNvPr id="2" name="Chart 1">
          <a:extLst>
            <a:ext uri="{FF2B5EF4-FFF2-40B4-BE49-F238E27FC236}">
              <a16:creationId xmlns:a16="http://schemas.microsoft.com/office/drawing/2014/main" id="{0D43C63C-3495-BED5-9655-7A111E326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127000</xdr:colOff>
      <xdr:row>0</xdr:row>
      <xdr:rowOff>0</xdr:rowOff>
    </xdr:from>
    <xdr:to>
      <xdr:col>26</xdr:col>
      <xdr:colOff>207282</xdr:colOff>
      <xdr:row>50</xdr:row>
      <xdr:rowOff>132724</xdr:rowOff>
    </xdr:to>
    <xdr:pic>
      <xdr:nvPicPr>
        <xdr:cNvPr id="3" name="Picture 2">
          <a:extLst>
            <a:ext uri="{FF2B5EF4-FFF2-40B4-BE49-F238E27FC236}">
              <a16:creationId xmlns:a16="http://schemas.microsoft.com/office/drawing/2014/main" id="{5FA3BD4F-C11F-4AE6-8579-9F4884A92A4D}"/>
            </a:ext>
            <a:ext uri="{147F2762-F138-4A5C-976F-8EAC2B608ADB}">
              <a16:predDERef xmlns:a16="http://schemas.microsoft.com/office/drawing/2014/main" pred="{63716FE9-DC47-FC09-10CD-B2E9156C1BA6}"/>
            </a:ext>
          </a:extLst>
        </xdr:cNvPr>
        <xdr:cNvPicPr>
          <a:picLocks noChangeAspect="1"/>
        </xdr:cNvPicPr>
      </xdr:nvPicPr>
      <xdr:blipFill>
        <a:blip xmlns:r="http://schemas.openxmlformats.org/officeDocument/2006/relationships" r:embed="rId1"/>
        <a:stretch>
          <a:fillRect/>
        </a:stretch>
      </xdr:blipFill>
      <xdr:spPr>
        <a:xfrm>
          <a:off x="9880600" y="0"/>
          <a:ext cx="6176282" cy="9340224"/>
        </a:xfrm>
        <a:prstGeom prst="rect">
          <a:avLst/>
        </a:prstGeom>
      </xdr:spPr>
    </xdr:pic>
    <xdr:clientData/>
  </xdr:twoCellAnchor>
  <xdr:twoCellAnchor editAs="oneCell">
    <xdr:from>
      <xdr:col>0</xdr:col>
      <xdr:colOff>9525</xdr:colOff>
      <xdr:row>0</xdr:row>
      <xdr:rowOff>0</xdr:rowOff>
    </xdr:from>
    <xdr:to>
      <xdr:col>15</xdr:col>
      <xdr:colOff>180975</xdr:colOff>
      <xdr:row>29</xdr:row>
      <xdr:rowOff>104775</xdr:rowOff>
    </xdr:to>
    <xdr:pic>
      <xdr:nvPicPr>
        <xdr:cNvPr id="4" name="Picture 3">
          <a:extLst>
            <a:ext uri="{FF2B5EF4-FFF2-40B4-BE49-F238E27FC236}">
              <a16:creationId xmlns:a16="http://schemas.microsoft.com/office/drawing/2014/main" id="{C43A3990-0B94-7AB1-79CD-53808A2C6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 y="0"/>
          <a:ext cx="9315450" cy="562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BA350-3EFF-4C25-8327-25F893ED6553}">
  <dimension ref="A1:K54"/>
  <sheetViews>
    <sheetView zoomScale="98" zoomScaleNormal="98" workbookViewId="0">
      <selection activeCell="B47" sqref="B47"/>
    </sheetView>
  </sheetViews>
  <sheetFormatPr defaultRowHeight="14.5" x14ac:dyDescent="0.35"/>
  <cols>
    <col min="1" max="1" width="20.453125" customWidth="1"/>
    <col min="2" max="2" width="45.81640625" customWidth="1"/>
    <col min="3" max="3" width="10.7265625" customWidth="1"/>
    <col min="4" max="4" width="9.453125" customWidth="1"/>
    <col min="5" max="5" width="54.7265625" customWidth="1"/>
    <col min="6" max="6" width="11.453125" customWidth="1"/>
    <col min="7" max="7" width="22.453125" customWidth="1"/>
    <col min="8" max="8" width="29.81640625" customWidth="1"/>
    <col min="9" max="9" width="27.54296875" customWidth="1"/>
    <col min="10" max="10" width="32.453125" customWidth="1"/>
    <col min="11" max="11" width="58.81640625" customWidth="1"/>
  </cols>
  <sheetData>
    <row r="1" spans="1:11" ht="15.75" customHeight="1" thickBot="1" x14ac:dyDescent="0.4">
      <c r="A1" s="108"/>
      <c r="B1" s="102" t="s">
        <v>0</v>
      </c>
      <c r="C1" s="103"/>
      <c r="D1" s="103"/>
      <c r="E1" s="104"/>
      <c r="F1" s="52"/>
      <c r="G1" s="102" t="s">
        <v>1</v>
      </c>
      <c r="H1" s="103"/>
      <c r="I1" s="104"/>
      <c r="K1" s="52"/>
    </row>
    <row r="2" spans="1:11" ht="15" thickBot="1" x14ac:dyDescent="0.4">
      <c r="A2" s="109"/>
      <c r="B2" s="9" t="s">
        <v>2</v>
      </c>
      <c r="C2" s="10" t="s">
        <v>3</v>
      </c>
      <c r="D2" s="10" t="s">
        <v>4</v>
      </c>
      <c r="E2" s="11" t="s">
        <v>5</v>
      </c>
      <c r="G2" s="9" t="s">
        <v>6</v>
      </c>
      <c r="H2" s="10" t="s">
        <v>7</v>
      </c>
      <c r="I2" s="11" t="s">
        <v>8</v>
      </c>
    </row>
    <row r="3" spans="1:11" ht="15" customHeight="1" x14ac:dyDescent="0.35">
      <c r="A3" s="105" t="s">
        <v>9</v>
      </c>
      <c r="B3" s="36" t="s">
        <v>10</v>
      </c>
      <c r="C3" s="16">
        <v>8.5</v>
      </c>
      <c r="D3" s="27" t="s">
        <v>11</v>
      </c>
      <c r="E3" s="37"/>
      <c r="F3" s="1"/>
      <c r="G3" s="3" t="s">
        <v>12</v>
      </c>
      <c r="H3" s="4">
        <v>43.75</v>
      </c>
      <c r="I3" s="5" t="s">
        <v>13</v>
      </c>
    </row>
    <row r="4" spans="1:11" x14ac:dyDescent="0.35">
      <c r="A4" s="106"/>
      <c r="B4" s="38" t="s">
        <v>14</v>
      </c>
      <c r="C4" s="14">
        <v>0.13</v>
      </c>
      <c r="D4" s="20" t="s">
        <v>15</v>
      </c>
      <c r="E4" s="39" t="s">
        <v>16</v>
      </c>
      <c r="F4" s="1"/>
      <c r="G4" s="6" t="s">
        <v>17</v>
      </c>
      <c r="H4" s="2">
        <v>79.89</v>
      </c>
      <c r="I4" s="12" t="s">
        <v>13</v>
      </c>
    </row>
    <row r="5" spans="1:11" x14ac:dyDescent="0.35">
      <c r="A5" s="106"/>
      <c r="B5" s="38" t="s">
        <v>63</v>
      </c>
      <c r="C5" s="14">
        <v>15</v>
      </c>
      <c r="D5" s="20" t="s">
        <v>30</v>
      </c>
      <c r="E5" s="39"/>
      <c r="F5" s="1"/>
      <c r="G5" s="6" t="s">
        <v>19</v>
      </c>
      <c r="H5" s="2">
        <v>84.79</v>
      </c>
      <c r="I5" s="12" t="s">
        <v>13</v>
      </c>
    </row>
    <row r="6" spans="1:11" x14ac:dyDescent="0.35">
      <c r="A6" s="106"/>
      <c r="B6" s="38" t="s">
        <v>21</v>
      </c>
      <c r="C6" s="14">
        <v>3.9</v>
      </c>
      <c r="D6" s="20" t="s">
        <v>15</v>
      </c>
      <c r="E6" s="39" t="s">
        <v>22</v>
      </c>
      <c r="F6" s="1"/>
      <c r="G6" s="6" t="s">
        <v>20</v>
      </c>
      <c r="H6" s="2">
        <v>14.65</v>
      </c>
      <c r="I6" s="12">
        <v>0.46439999999999998</v>
      </c>
    </row>
    <row r="7" spans="1:11" ht="15" thickBot="1" x14ac:dyDescent="0.4">
      <c r="A7" s="106"/>
      <c r="B7" s="38" t="s">
        <v>24</v>
      </c>
      <c r="C7" s="14">
        <v>0.9</v>
      </c>
      <c r="D7" s="20" t="s">
        <v>15</v>
      </c>
      <c r="E7" s="39" t="s">
        <v>22</v>
      </c>
      <c r="F7" s="1"/>
      <c r="G7" s="7" t="s">
        <v>23</v>
      </c>
      <c r="H7" s="8">
        <v>21.25</v>
      </c>
      <c r="I7" s="13">
        <v>0.59199999999999997</v>
      </c>
    </row>
    <row r="8" spans="1:11" ht="15" thickBot="1" x14ac:dyDescent="0.4">
      <c r="A8" s="106"/>
      <c r="B8" s="38" t="s">
        <v>25</v>
      </c>
      <c r="C8" s="14">
        <v>0.97499999999999998</v>
      </c>
      <c r="D8" s="20" t="s">
        <v>11</v>
      </c>
      <c r="E8" s="39"/>
      <c r="F8" s="1"/>
      <c r="K8" s="52"/>
    </row>
    <row r="9" spans="1:11" ht="15.75" customHeight="1" thickBot="1" x14ac:dyDescent="0.4">
      <c r="A9" s="106"/>
      <c r="B9" s="38" t="s">
        <v>27</v>
      </c>
      <c r="C9" s="14">
        <v>2.7749999999999999</v>
      </c>
      <c r="D9" s="20" t="s">
        <v>11</v>
      </c>
      <c r="E9" s="39"/>
      <c r="F9" s="1"/>
      <c r="G9" s="102" t="s">
        <v>26</v>
      </c>
      <c r="H9" s="103"/>
      <c r="I9" s="104"/>
      <c r="K9" s="51"/>
    </row>
    <row r="10" spans="1:11" ht="15" thickBot="1" x14ac:dyDescent="0.4">
      <c r="A10" s="106"/>
      <c r="B10" s="38" t="s">
        <v>72</v>
      </c>
      <c r="C10" s="14">
        <f>C9*C7</f>
        <v>2.4975000000000001</v>
      </c>
      <c r="D10" s="20" t="s">
        <v>11</v>
      </c>
      <c r="E10" s="39"/>
      <c r="F10" s="1"/>
      <c r="G10" s="9" t="s">
        <v>28</v>
      </c>
      <c r="H10" s="10" t="s">
        <v>29</v>
      </c>
      <c r="I10" s="11" t="s">
        <v>4</v>
      </c>
      <c r="K10" s="1"/>
    </row>
    <row r="11" spans="1:11" ht="15" thickBot="1" x14ac:dyDescent="0.4">
      <c r="A11" s="107"/>
      <c r="B11" s="43" t="s">
        <v>31</v>
      </c>
      <c r="C11" s="17">
        <f>C8*C6</f>
        <v>3.8024999999999998</v>
      </c>
      <c r="D11" s="28" t="s">
        <v>11</v>
      </c>
      <c r="E11" s="44"/>
      <c r="F11" s="1"/>
      <c r="G11" s="3">
        <v>1</v>
      </c>
      <c r="H11" s="19">
        <v>0</v>
      </c>
      <c r="I11" s="5" t="s">
        <v>30</v>
      </c>
      <c r="K11" s="1"/>
    </row>
    <row r="12" spans="1:11" ht="14.25" customHeight="1" x14ac:dyDescent="0.35">
      <c r="A12" s="110" t="s">
        <v>32</v>
      </c>
      <c r="B12" s="45" t="s">
        <v>33</v>
      </c>
      <c r="C12" s="16">
        <v>0.8</v>
      </c>
      <c r="D12" s="29" t="s">
        <v>11</v>
      </c>
      <c r="E12" s="46"/>
      <c r="F12" s="1"/>
      <c r="G12" s="6">
        <v>2</v>
      </c>
      <c r="H12" s="15">
        <v>25</v>
      </c>
      <c r="I12" s="12" t="s">
        <v>30</v>
      </c>
      <c r="K12" s="1"/>
    </row>
    <row r="13" spans="1:11" ht="15" customHeight="1" thickBot="1" x14ac:dyDescent="0.4">
      <c r="A13" s="111"/>
      <c r="B13" s="40" t="s">
        <v>34</v>
      </c>
      <c r="C13" s="14">
        <v>0.97499999999999998</v>
      </c>
      <c r="D13" s="21" t="s">
        <v>11</v>
      </c>
      <c r="E13" s="22"/>
      <c r="F13" s="1"/>
      <c r="G13" s="6">
        <v>3</v>
      </c>
      <c r="H13" s="15">
        <v>50</v>
      </c>
      <c r="I13" s="12" t="s">
        <v>30</v>
      </c>
      <c r="K13" s="1"/>
    </row>
    <row r="14" spans="1:11" ht="16.5" customHeight="1" x14ac:dyDescent="0.35">
      <c r="A14" s="112" t="s">
        <v>35</v>
      </c>
      <c r="B14" s="47" t="s">
        <v>36</v>
      </c>
      <c r="C14" s="16">
        <v>4</v>
      </c>
      <c r="D14" s="30" t="s">
        <v>15</v>
      </c>
      <c r="E14" s="31"/>
      <c r="F14" s="1"/>
      <c r="G14" s="6">
        <v>4</v>
      </c>
      <c r="H14" s="15">
        <v>75</v>
      </c>
      <c r="I14" s="12" t="s">
        <v>30</v>
      </c>
      <c r="K14" s="1"/>
    </row>
    <row r="15" spans="1:11" ht="15" customHeight="1" x14ac:dyDescent="0.35">
      <c r="A15" s="113"/>
      <c r="B15" s="41" t="s">
        <v>37</v>
      </c>
      <c r="C15" s="14">
        <v>1.6</v>
      </c>
      <c r="D15" s="23" t="s">
        <v>11</v>
      </c>
      <c r="E15" s="24"/>
      <c r="F15" s="1"/>
      <c r="G15" s="6">
        <v>5</v>
      </c>
      <c r="H15" s="15">
        <v>100</v>
      </c>
      <c r="I15" s="12" t="s">
        <v>30</v>
      </c>
    </row>
    <row r="16" spans="1:11" ht="14.25" customHeight="1" x14ac:dyDescent="0.35">
      <c r="A16" s="113"/>
      <c r="B16" s="41" t="s">
        <v>38</v>
      </c>
      <c r="C16" s="14">
        <v>1.23</v>
      </c>
      <c r="D16" s="23" t="s">
        <v>11</v>
      </c>
      <c r="E16" s="24"/>
      <c r="F16" s="1"/>
      <c r="G16" s="6">
        <v>6</v>
      </c>
      <c r="H16" s="15">
        <v>125</v>
      </c>
      <c r="I16" s="12" t="s">
        <v>30</v>
      </c>
    </row>
    <row r="17" spans="1:9" ht="15" customHeight="1" x14ac:dyDescent="0.35">
      <c r="A17" s="113"/>
      <c r="B17" s="41" t="s">
        <v>39</v>
      </c>
      <c r="C17" s="14">
        <v>40</v>
      </c>
      <c r="D17" s="23" t="s">
        <v>40</v>
      </c>
      <c r="E17" s="24" t="s">
        <v>41</v>
      </c>
      <c r="F17" s="1"/>
      <c r="G17" s="6">
        <v>7</v>
      </c>
      <c r="H17" s="15">
        <v>150</v>
      </c>
      <c r="I17" s="12" t="s">
        <v>30</v>
      </c>
    </row>
    <row r="18" spans="1:9" ht="15" customHeight="1" x14ac:dyDescent="0.35">
      <c r="A18" s="113"/>
      <c r="B18" s="41" t="s">
        <v>46</v>
      </c>
      <c r="C18" s="14">
        <v>1.5</v>
      </c>
      <c r="D18" s="23" t="s">
        <v>11</v>
      </c>
      <c r="E18" s="24"/>
      <c r="F18" s="1"/>
      <c r="G18" s="6">
        <v>8</v>
      </c>
      <c r="H18" s="15">
        <v>175</v>
      </c>
      <c r="I18" s="12" t="s">
        <v>30</v>
      </c>
    </row>
    <row r="19" spans="1:9" ht="15" thickBot="1" x14ac:dyDescent="0.4">
      <c r="A19" s="113"/>
      <c r="B19" s="48" t="s">
        <v>47</v>
      </c>
      <c r="C19" s="17">
        <v>1.89</v>
      </c>
      <c r="D19" s="32" t="s">
        <v>11</v>
      </c>
      <c r="E19" s="33"/>
      <c r="F19" s="1"/>
      <c r="G19" s="7">
        <v>9</v>
      </c>
      <c r="H19" s="18">
        <v>200</v>
      </c>
      <c r="I19" s="13" t="s">
        <v>30</v>
      </c>
    </row>
    <row r="20" spans="1:9" ht="15" customHeight="1" thickBot="1" x14ac:dyDescent="0.4">
      <c r="A20" s="114" t="s">
        <v>48</v>
      </c>
      <c r="B20" s="49" t="s">
        <v>64</v>
      </c>
      <c r="C20" s="16">
        <v>0.8</v>
      </c>
      <c r="D20" s="34" t="s">
        <v>11</v>
      </c>
      <c r="E20" s="35"/>
      <c r="F20" s="1"/>
    </row>
    <row r="21" spans="1:9" ht="15" thickBot="1" x14ac:dyDescent="0.4">
      <c r="A21" s="115"/>
      <c r="B21" s="42" t="s">
        <v>49</v>
      </c>
      <c r="C21" s="14">
        <v>1.44</v>
      </c>
      <c r="D21" s="25" t="s">
        <v>11</v>
      </c>
      <c r="E21" s="26"/>
      <c r="F21" s="1"/>
      <c r="G21" s="102" t="s">
        <v>42</v>
      </c>
      <c r="H21" s="103"/>
      <c r="I21" s="104"/>
    </row>
    <row r="22" spans="1:9" ht="15" thickBot="1" x14ac:dyDescent="0.4">
      <c r="A22" s="116"/>
      <c r="B22" s="42" t="s">
        <v>50</v>
      </c>
      <c r="C22" s="14">
        <v>40</v>
      </c>
      <c r="D22" s="25" t="s">
        <v>30</v>
      </c>
      <c r="E22" s="26"/>
      <c r="F22" s="1"/>
      <c r="G22" s="9" t="s">
        <v>43</v>
      </c>
      <c r="H22" s="10" t="s">
        <v>44</v>
      </c>
      <c r="I22" s="11" t="s">
        <v>45</v>
      </c>
    </row>
    <row r="23" spans="1:9" ht="15" thickBot="1" x14ac:dyDescent="0.4">
      <c r="A23" s="74" t="s">
        <v>51</v>
      </c>
      <c r="B23" s="75" t="s">
        <v>52</v>
      </c>
      <c r="C23" s="76">
        <v>1.4550000000000001</v>
      </c>
      <c r="D23" s="77" t="s">
        <v>11</v>
      </c>
      <c r="E23" s="78"/>
      <c r="F23" s="1"/>
      <c r="G23" s="3">
        <v>1600</v>
      </c>
      <c r="H23" s="4">
        <v>15.4</v>
      </c>
      <c r="I23" s="5">
        <v>4.7</v>
      </c>
    </row>
    <row r="24" spans="1:9" ht="15" customHeight="1" x14ac:dyDescent="0.35">
      <c r="A24" s="96" t="s">
        <v>53</v>
      </c>
      <c r="B24" s="53" t="s">
        <v>54</v>
      </c>
      <c r="C24" s="59">
        <v>600</v>
      </c>
      <c r="D24" s="54" t="s">
        <v>18</v>
      </c>
      <c r="E24" s="55"/>
      <c r="F24" s="1"/>
      <c r="G24" s="6">
        <v>1800</v>
      </c>
      <c r="H24" s="2">
        <v>16.5</v>
      </c>
      <c r="I24" s="12">
        <v>5.8</v>
      </c>
    </row>
    <row r="25" spans="1:9" ht="15" customHeight="1" x14ac:dyDescent="0.35">
      <c r="A25" s="97"/>
      <c r="B25" s="56" t="s">
        <v>55</v>
      </c>
      <c r="C25" s="60">
        <v>32.194420000000001</v>
      </c>
      <c r="D25" s="57" t="s">
        <v>11</v>
      </c>
      <c r="E25" s="58"/>
      <c r="F25" s="1"/>
      <c r="G25" s="6">
        <v>2000</v>
      </c>
      <c r="H25" s="2">
        <v>17.5</v>
      </c>
      <c r="I25" s="12">
        <v>6.8</v>
      </c>
    </row>
    <row r="26" spans="1:9" x14ac:dyDescent="0.35">
      <c r="A26" s="97"/>
      <c r="B26" s="56" t="s">
        <v>56</v>
      </c>
      <c r="C26" s="60">
        <v>29.813464567</v>
      </c>
      <c r="D26" s="57" t="s">
        <v>11</v>
      </c>
      <c r="E26" s="58"/>
      <c r="F26" s="1"/>
      <c r="G26" s="6">
        <v>2200</v>
      </c>
      <c r="H26" s="2">
        <v>18.2</v>
      </c>
      <c r="I26" s="12">
        <v>7.6</v>
      </c>
    </row>
    <row r="27" spans="1:9" x14ac:dyDescent="0.35">
      <c r="A27" s="97"/>
      <c r="B27" s="56" t="s">
        <v>57</v>
      </c>
      <c r="C27" s="60">
        <v>19.909140000000001</v>
      </c>
      <c r="D27" s="57" t="s">
        <v>11</v>
      </c>
      <c r="E27" s="58" t="s">
        <v>58</v>
      </c>
      <c r="F27" s="1"/>
      <c r="G27" s="6">
        <v>2400</v>
      </c>
      <c r="H27" s="2">
        <v>18.5</v>
      </c>
      <c r="I27" s="12">
        <v>8.5</v>
      </c>
    </row>
    <row r="28" spans="1:9" ht="15" customHeight="1" x14ac:dyDescent="0.35">
      <c r="A28" s="97"/>
      <c r="B28" s="56" t="s">
        <v>59</v>
      </c>
      <c r="C28" s="14">
        <v>11</v>
      </c>
      <c r="D28" s="57" t="s">
        <v>11</v>
      </c>
      <c r="E28" s="58"/>
      <c r="F28" s="1"/>
      <c r="G28" s="6">
        <v>2600</v>
      </c>
      <c r="H28" s="2">
        <v>18.100000000000001</v>
      </c>
      <c r="I28" s="12">
        <v>9</v>
      </c>
    </row>
    <row r="29" spans="1:9" ht="15" thickBot="1" x14ac:dyDescent="0.4">
      <c r="A29" s="98"/>
      <c r="B29" s="67" t="s">
        <v>60</v>
      </c>
      <c r="C29" s="68">
        <v>6.3</v>
      </c>
      <c r="D29" s="69" t="s">
        <v>15</v>
      </c>
      <c r="E29" s="70" t="s">
        <v>61</v>
      </c>
      <c r="F29" s="1"/>
      <c r="G29" s="6">
        <v>2800</v>
      </c>
      <c r="H29" s="2">
        <v>17.399999999999999</v>
      </c>
      <c r="I29" s="12">
        <v>9.3000000000000007</v>
      </c>
    </row>
    <row r="30" spans="1:9" ht="15.75" customHeight="1" x14ac:dyDescent="0.35">
      <c r="A30" s="99" t="s">
        <v>65</v>
      </c>
      <c r="B30" s="71" t="s">
        <v>66</v>
      </c>
      <c r="C30" s="16">
        <v>3000</v>
      </c>
      <c r="D30" s="72" t="s">
        <v>62</v>
      </c>
      <c r="E30" s="73" t="s">
        <v>70</v>
      </c>
      <c r="F30" s="1"/>
      <c r="G30" s="6">
        <v>3000</v>
      </c>
      <c r="H30" s="2">
        <v>16.600000000000001</v>
      </c>
      <c r="I30" s="12">
        <v>9.5</v>
      </c>
    </row>
    <row r="31" spans="1:9" ht="15.75" customHeight="1" x14ac:dyDescent="0.35">
      <c r="A31" s="100"/>
      <c r="B31" s="61" t="s">
        <v>67</v>
      </c>
      <c r="C31" s="14">
        <v>2400</v>
      </c>
      <c r="D31" s="62" t="s">
        <v>62</v>
      </c>
      <c r="E31" s="63" t="s">
        <v>71</v>
      </c>
      <c r="F31" s="1"/>
      <c r="G31" s="6">
        <v>3200</v>
      </c>
      <c r="H31" s="2">
        <v>15.4</v>
      </c>
      <c r="I31" s="12">
        <v>9.4499999999999993</v>
      </c>
    </row>
    <row r="32" spans="1:9" ht="15.75" customHeight="1" x14ac:dyDescent="0.35">
      <c r="A32" s="100"/>
      <c r="B32" s="61" t="s">
        <v>68</v>
      </c>
      <c r="C32" s="14">
        <v>1800</v>
      </c>
      <c r="D32" s="62" t="s">
        <v>62</v>
      </c>
      <c r="E32" s="63"/>
      <c r="F32" s="1"/>
      <c r="G32" s="6">
        <v>3400</v>
      </c>
      <c r="H32" s="2">
        <v>14.5</v>
      </c>
      <c r="I32" s="12">
        <v>9.4</v>
      </c>
    </row>
    <row r="33" spans="1:11" ht="15.75" customHeight="1" thickBot="1" x14ac:dyDescent="0.4">
      <c r="A33" s="101"/>
      <c r="B33" s="64" t="s">
        <v>69</v>
      </c>
      <c r="C33" s="17">
        <v>3800</v>
      </c>
      <c r="D33" s="65" t="s">
        <v>62</v>
      </c>
      <c r="E33" s="66"/>
      <c r="F33" s="1"/>
      <c r="G33" s="6">
        <v>3600</v>
      </c>
      <c r="H33" s="2">
        <v>13.5</v>
      </c>
      <c r="I33" s="12">
        <v>9.3000000000000007</v>
      </c>
    </row>
    <row r="34" spans="1:11" ht="15" thickBot="1" x14ac:dyDescent="0.4">
      <c r="F34" s="1"/>
      <c r="G34" s="7">
        <v>4000</v>
      </c>
      <c r="H34" s="8">
        <v>10</v>
      </c>
      <c r="I34" s="13">
        <v>9</v>
      </c>
      <c r="J34" s="52"/>
      <c r="K34" s="52"/>
    </row>
    <row r="35" spans="1:11" x14ac:dyDescent="0.35">
      <c r="F35" s="1"/>
      <c r="J35" s="51"/>
      <c r="K35" s="51"/>
    </row>
    <row r="36" spans="1:11" x14ac:dyDescent="0.35">
      <c r="F36" s="1"/>
    </row>
    <row r="37" spans="1:11" x14ac:dyDescent="0.35">
      <c r="F37" s="1"/>
    </row>
    <row r="38" spans="1:11" x14ac:dyDescent="0.35">
      <c r="F38" s="1"/>
    </row>
    <row r="39" spans="1:11" x14ac:dyDescent="0.35">
      <c r="F39" s="1"/>
    </row>
    <row r="40" spans="1:11" x14ac:dyDescent="0.35">
      <c r="F40" s="1"/>
    </row>
    <row r="41" spans="1:11" x14ac:dyDescent="0.35">
      <c r="F41" s="1"/>
    </row>
    <row r="42" spans="1:11" ht="15.75" customHeight="1" x14ac:dyDescent="0.35"/>
    <row r="47" spans="1:11" x14ac:dyDescent="0.35">
      <c r="G47" s="1"/>
      <c r="H47" s="1"/>
      <c r="I47" s="1"/>
    </row>
    <row r="48" spans="1:11" x14ac:dyDescent="0.35">
      <c r="G48" s="1"/>
      <c r="H48" s="1"/>
      <c r="I48" s="1"/>
    </row>
    <row r="51" spans="1:6" x14ac:dyDescent="0.35">
      <c r="A51" s="1"/>
      <c r="B51" s="1"/>
      <c r="C51" s="1"/>
      <c r="D51" s="50"/>
      <c r="E51" s="1"/>
      <c r="F51" s="1"/>
    </row>
    <row r="52" spans="1:6" x14ac:dyDescent="0.35">
      <c r="A52" s="1"/>
    </row>
    <row r="53" spans="1:6" x14ac:dyDescent="0.35">
      <c r="A53" s="1"/>
    </row>
    <row r="54" spans="1:6" x14ac:dyDescent="0.35">
      <c r="A54" s="1"/>
      <c r="B54" s="1"/>
      <c r="C54" s="1"/>
    </row>
  </sheetData>
  <mergeCells count="11">
    <mergeCell ref="A24:A29"/>
    <mergeCell ref="A30:A33"/>
    <mergeCell ref="G1:I1"/>
    <mergeCell ref="G9:I9"/>
    <mergeCell ref="G21:I21"/>
    <mergeCell ref="A3:A11"/>
    <mergeCell ref="A1:A2"/>
    <mergeCell ref="B1:E1"/>
    <mergeCell ref="A12:A13"/>
    <mergeCell ref="A14:A19"/>
    <mergeCell ref="A20:A22"/>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9AC9C-C872-46E5-8360-7C0CB0E1567D}">
  <dimension ref="A1"/>
  <sheetViews>
    <sheetView workbookViewId="0">
      <selection activeCell="C32" sqref="C32"/>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EA7F0-FAB7-4027-8FFC-81BEB09FA69A}">
  <dimension ref="A1:I11"/>
  <sheetViews>
    <sheetView topLeftCell="C1" zoomScaleNormal="100" workbookViewId="0">
      <selection activeCell="AE8" sqref="AE8"/>
    </sheetView>
  </sheetViews>
  <sheetFormatPr defaultRowHeight="14.5" x14ac:dyDescent="0.35"/>
  <cols>
    <col min="2" max="2" width="81.81640625" customWidth="1"/>
    <col min="4" max="4" width="89.1796875" customWidth="1"/>
  </cols>
  <sheetData>
    <row r="1" spans="1:9" ht="15" customHeight="1" x14ac:dyDescent="0.35">
      <c r="A1" s="79"/>
      <c r="B1" s="79"/>
      <c r="C1" s="79"/>
      <c r="D1" s="79"/>
      <c r="E1" s="79"/>
      <c r="F1" s="79"/>
      <c r="G1" s="79"/>
      <c r="H1" s="79"/>
      <c r="I1" s="79"/>
    </row>
    <row r="2" spans="1:9" ht="15" customHeight="1" thickBot="1" x14ac:dyDescent="0.4">
      <c r="A2" s="79"/>
      <c r="B2" s="79"/>
      <c r="C2" s="79"/>
      <c r="D2" s="79"/>
      <c r="E2" s="79"/>
      <c r="F2" s="79"/>
      <c r="G2" s="79"/>
      <c r="H2" s="79"/>
      <c r="I2" s="79"/>
    </row>
    <row r="3" spans="1:9" ht="15" thickBot="1" x14ac:dyDescent="0.4">
      <c r="C3" s="117" t="s">
        <v>73</v>
      </c>
      <c r="D3" s="118"/>
    </row>
    <row r="4" spans="1:9" ht="15" thickBot="1" x14ac:dyDescent="0.4">
      <c r="C4" s="85" t="s">
        <v>74</v>
      </c>
      <c r="D4" s="80" t="s">
        <v>75</v>
      </c>
    </row>
    <row r="5" spans="1:9" ht="30" customHeight="1" x14ac:dyDescent="0.35">
      <c r="C5" s="86">
        <v>1</v>
      </c>
      <c r="D5" s="81" t="s">
        <v>76</v>
      </c>
    </row>
    <row r="6" spans="1:9" ht="30" customHeight="1" x14ac:dyDescent="0.35">
      <c r="C6" s="87">
        <v>2</v>
      </c>
      <c r="D6" s="82" t="s">
        <v>79</v>
      </c>
    </row>
    <row r="7" spans="1:9" ht="50.25" customHeight="1" x14ac:dyDescent="0.35">
      <c r="C7" s="88">
        <v>3</v>
      </c>
      <c r="D7" s="83" t="s">
        <v>81</v>
      </c>
    </row>
    <row r="8" spans="1:9" ht="50.25" customHeight="1" x14ac:dyDescent="0.35">
      <c r="C8" s="87">
        <v>4</v>
      </c>
      <c r="D8" s="82" t="s">
        <v>80</v>
      </c>
    </row>
    <row r="9" spans="1:9" ht="30" customHeight="1" x14ac:dyDescent="0.35">
      <c r="C9" s="88">
        <v>5</v>
      </c>
      <c r="D9" s="83" t="s">
        <v>77</v>
      </c>
    </row>
    <row r="10" spans="1:9" ht="65.25" customHeight="1" thickBot="1" x14ac:dyDescent="0.4">
      <c r="C10" s="89" t="s">
        <v>78</v>
      </c>
      <c r="D10" s="84" t="s">
        <v>82</v>
      </c>
    </row>
    <row r="11" spans="1:9" x14ac:dyDescent="0.35">
      <c r="A11" s="1"/>
      <c r="B11" s="1"/>
    </row>
  </sheetData>
  <mergeCells count="1">
    <mergeCell ref="C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4C3C-537F-4A6F-A2C1-151A9E72A058}">
  <dimension ref="A1:R55"/>
  <sheetViews>
    <sheetView tabSelected="1" workbookViewId="0">
      <selection activeCell="K16" sqref="K16"/>
    </sheetView>
  </sheetViews>
  <sheetFormatPr defaultRowHeight="14.5" x14ac:dyDescent="0.35"/>
  <cols>
    <col min="5" max="5" width="12.453125" customWidth="1"/>
    <col min="6" max="6" width="12.7265625" customWidth="1"/>
    <col min="7" max="7" width="13.26953125" customWidth="1"/>
  </cols>
  <sheetData>
    <row r="1" spans="1:18" ht="15" thickBot="1" x14ac:dyDescent="0.4">
      <c r="A1" s="121" t="s">
        <v>83</v>
      </c>
      <c r="B1" s="122" t="s">
        <v>84</v>
      </c>
      <c r="C1" s="122" t="s">
        <v>85</v>
      </c>
      <c r="D1" s="122" t="s">
        <v>86</v>
      </c>
      <c r="E1" s="122" t="s">
        <v>87</v>
      </c>
      <c r="F1" s="122" t="s">
        <v>88</v>
      </c>
      <c r="G1" s="122" t="s">
        <v>89</v>
      </c>
      <c r="H1" s="123" t="s">
        <v>90</v>
      </c>
    </row>
    <row r="2" spans="1:18" ht="14.5" customHeight="1" x14ac:dyDescent="0.35">
      <c r="A2" s="3">
        <v>1</v>
      </c>
      <c r="B2" s="4">
        <v>120</v>
      </c>
      <c r="C2" s="4">
        <v>18</v>
      </c>
      <c r="D2" s="4">
        <v>30</v>
      </c>
      <c r="E2" s="124"/>
      <c r="F2" s="125"/>
      <c r="G2" s="4">
        <v>1</v>
      </c>
      <c r="H2" s="126"/>
      <c r="L2" s="120"/>
      <c r="M2" s="120"/>
      <c r="N2" s="120"/>
      <c r="O2" s="120"/>
      <c r="P2" s="120"/>
      <c r="Q2" s="120"/>
      <c r="R2" s="120"/>
    </row>
    <row r="3" spans="1:18" ht="14.5" customHeight="1" x14ac:dyDescent="0.35">
      <c r="A3" s="6">
        <v>2</v>
      </c>
      <c r="B3" s="2">
        <v>120</v>
      </c>
      <c r="C3" s="2">
        <v>18</v>
      </c>
      <c r="D3" s="2">
        <v>30</v>
      </c>
      <c r="E3" s="92"/>
      <c r="F3" s="93"/>
      <c r="G3" s="2">
        <v>2</v>
      </c>
      <c r="H3" s="127"/>
      <c r="L3" s="120"/>
      <c r="M3" s="120"/>
      <c r="N3" s="120"/>
      <c r="O3" s="120"/>
      <c r="P3" s="120"/>
      <c r="Q3" s="120"/>
      <c r="R3" s="120"/>
    </row>
    <row r="4" spans="1:18" ht="14.5" customHeight="1" x14ac:dyDescent="0.35">
      <c r="A4" s="6">
        <v>3</v>
      </c>
      <c r="B4" s="2">
        <v>120</v>
      </c>
      <c r="C4" s="2">
        <v>18</v>
      </c>
      <c r="D4" s="2">
        <v>30</v>
      </c>
      <c r="E4" s="92"/>
      <c r="F4" s="93"/>
      <c r="G4" s="2">
        <v>3</v>
      </c>
      <c r="H4" s="127"/>
      <c r="L4" s="120"/>
      <c r="M4" s="120"/>
      <c r="N4" s="120"/>
      <c r="O4" s="120"/>
      <c r="P4" s="120"/>
      <c r="Q4" s="120"/>
      <c r="R4" s="120"/>
    </row>
    <row r="5" spans="1:18" ht="14.5" customHeight="1" x14ac:dyDescent="0.35">
      <c r="A5" s="6">
        <v>4</v>
      </c>
      <c r="B5" s="2">
        <v>120</v>
      </c>
      <c r="C5" s="2">
        <v>18</v>
      </c>
      <c r="D5" s="2">
        <v>30</v>
      </c>
      <c r="E5" s="92"/>
      <c r="F5" s="93"/>
      <c r="G5" s="2">
        <v>4</v>
      </c>
      <c r="H5" s="127"/>
      <c r="L5" s="120"/>
      <c r="M5" s="120"/>
      <c r="N5" s="120"/>
      <c r="O5" s="120"/>
      <c r="P5" s="120"/>
      <c r="Q5" s="120"/>
      <c r="R5" s="120"/>
    </row>
    <row r="6" spans="1:18" ht="14.5" customHeight="1" x14ac:dyDescent="0.35">
      <c r="A6" s="6">
        <v>5</v>
      </c>
      <c r="B6" s="2">
        <v>120</v>
      </c>
      <c r="C6" s="2">
        <v>18</v>
      </c>
      <c r="D6" s="2">
        <v>30</v>
      </c>
      <c r="E6" s="92"/>
      <c r="F6" s="93"/>
      <c r="G6" s="2">
        <v>5</v>
      </c>
      <c r="H6" s="127"/>
      <c r="L6" s="120"/>
      <c r="M6" s="120"/>
      <c r="N6" s="120"/>
      <c r="O6" s="120"/>
      <c r="P6" s="120"/>
      <c r="Q6" s="120"/>
      <c r="R6" s="120"/>
    </row>
    <row r="7" spans="1:18" ht="14.5" customHeight="1" x14ac:dyDescent="0.35">
      <c r="A7" s="6">
        <v>6</v>
      </c>
      <c r="B7" s="2">
        <v>120</v>
      </c>
      <c r="C7" s="2">
        <v>18</v>
      </c>
      <c r="D7" s="2">
        <v>30</v>
      </c>
      <c r="E7" s="94"/>
      <c r="F7" s="95"/>
      <c r="G7" s="2">
        <v>6</v>
      </c>
      <c r="H7" s="127"/>
      <c r="L7" s="120"/>
      <c r="M7" s="120"/>
      <c r="N7" s="120"/>
      <c r="O7" s="120"/>
      <c r="P7" s="120"/>
      <c r="Q7" s="120"/>
      <c r="R7" s="120"/>
    </row>
    <row r="8" spans="1:18" ht="14.5" customHeight="1" x14ac:dyDescent="0.35">
      <c r="A8" s="6">
        <v>7</v>
      </c>
      <c r="B8" s="2">
        <v>120</v>
      </c>
      <c r="C8" s="2">
        <v>18</v>
      </c>
      <c r="D8" s="2">
        <v>30</v>
      </c>
      <c r="E8" s="94"/>
      <c r="F8" s="95"/>
      <c r="G8" s="2">
        <v>7</v>
      </c>
      <c r="H8" s="127"/>
      <c r="L8" s="120"/>
      <c r="M8" s="120"/>
      <c r="N8" s="120"/>
      <c r="O8" s="120"/>
      <c r="P8" s="120"/>
      <c r="Q8" s="120"/>
      <c r="R8" s="120"/>
    </row>
    <row r="9" spans="1:18" ht="14.5" customHeight="1" x14ac:dyDescent="0.35">
      <c r="A9" s="6">
        <v>8</v>
      </c>
      <c r="B9" s="2">
        <v>120</v>
      </c>
      <c r="C9" s="2">
        <v>18</v>
      </c>
      <c r="D9" s="2">
        <v>30</v>
      </c>
      <c r="E9" s="94"/>
      <c r="F9" s="95"/>
      <c r="G9" s="2">
        <v>8</v>
      </c>
      <c r="H9" s="127"/>
      <c r="L9" s="120"/>
      <c r="M9" s="120"/>
      <c r="N9" s="120"/>
      <c r="O9" s="120"/>
      <c r="P9" s="120"/>
      <c r="Q9" s="120"/>
      <c r="R9" s="120"/>
    </row>
    <row r="10" spans="1:18" ht="14.5" customHeight="1" x14ac:dyDescent="0.35">
      <c r="A10" s="6">
        <v>9</v>
      </c>
      <c r="B10" s="2">
        <v>120</v>
      </c>
      <c r="C10" s="2">
        <v>18</v>
      </c>
      <c r="D10" s="2">
        <v>30</v>
      </c>
      <c r="E10" s="94"/>
      <c r="F10" s="95"/>
      <c r="G10" s="2">
        <v>9</v>
      </c>
      <c r="H10" s="127"/>
      <c r="L10" s="120"/>
      <c r="M10" s="120"/>
      <c r="N10" s="120"/>
      <c r="O10" s="120"/>
      <c r="P10" s="120"/>
      <c r="Q10" s="120"/>
      <c r="R10" s="120"/>
    </row>
    <row r="11" spans="1:18" ht="14.5" customHeight="1" x14ac:dyDescent="0.35">
      <c r="A11" s="6">
        <v>10</v>
      </c>
      <c r="B11" s="2">
        <v>120</v>
      </c>
      <c r="C11" s="2">
        <v>18</v>
      </c>
      <c r="D11" s="2">
        <v>30</v>
      </c>
      <c r="E11" s="90"/>
      <c r="F11" s="93"/>
      <c r="G11" s="2">
        <v>1</v>
      </c>
      <c r="H11" s="128"/>
      <c r="L11" s="120"/>
      <c r="M11" s="120"/>
      <c r="N11" s="120"/>
      <c r="O11" s="120"/>
      <c r="P11" s="120"/>
      <c r="Q11" s="120"/>
      <c r="R11" s="120"/>
    </row>
    <row r="12" spans="1:18" ht="14.5" customHeight="1" x14ac:dyDescent="0.35">
      <c r="A12" s="6">
        <v>11</v>
      </c>
      <c r="B12" s="2">
        <v>120</v>
      </c>
      <c r="C12" s="2">
        <v>18</v>
      </c>
      <c r="D12" s="2">
        <v>30</v>
      </c>
      <c r="E12" s="90"/>
      <c r="F12" s="93"/>
      <c r="G12" s="2">
        <v>2</v>
      </c>
      <c r="H12" s="128"/>
      <c r="L12" s="120"/>
      <c r="M12" s="120"/>
      <c r="N12" s="120"/>
      <c r="O12" s="120"/>
      <c r="P12" s="120"/>
      <c r="Q12" s="120"/>
      <c r="R12" s="120"/>
    </row>
    <row r="13" spans="1:18" ht="14.5" customHeight="1" x14ac:dyDescent="0.35">
      <c r="A13" s="6">
        <v>12</v>
      </c>
      <c r="B13" s="2">
        <v>120</v>
      </c>
      <c r="C13" s="2">
        <v>18</v>
      </c>
      <c r="D13" s="2">
        <v>30</v>
      </c>
      <c r="E13" s="90"/>
      <c r="F13" s="93"/>
      <c r="G13" s="2">
        <v>3</v>
      </c>
      <c r="H13" s="128"/>
      <c r="L13" s="120"/>
      <c r="M13" s="120"/>
      <c r="N13" s="120"/>
      <c r="O13" s="120"/>
      <c r="P13" s="120"/>
      <c r="Q13" s="120"/>
      <c r="R13" s="120"/>
    </row>
    <row r="14" spans="1:18" ht="14.5" customHeight="1" x14ac:dyDescent="0.35">
      <c r="A14" s="6">
        <v>13</v>
      </c>
      <c r="B14" s="2">
        <v>120</v>
      </c>
      <c r="C14" s="2">
        <v>18</v>
      </c>
      <c r="D14" s="2">
        <v>30</v>
      </c>
      <c r="E14" s="90"/>
      <c r="F14" s="93"/>
      <c r="G14" s="2">
        <v>4</v>
      </c>
      <c r="H14" s="128"/>
      <c r="L14" s="120"/>
      <c r="M14" s="120"/>
      <c r="N14" s="120"/>
      <c r="O14" s="120"/>
      <c r="P14" s="120"/>
      <c r="Q14" s="120"/>
      <c r="R14" s="120"/>
    </row>
    <row r="15" spans="1:18" ht="14.5" customHeight="1" x14ac:dyDescent="0.35">
      <c r="A15" s="6">
        <v>14</v>
      </c>
      <c r="B15" s="2">
        <v>120</v>
      </c>
      <c r="C15" s="2">
        <v>18</v>
      </c>
      <c r="D15" s="2">
        <v>30</v>
      </c>
      <c r="E15" s="90"/>
      <c r="F15" s="93"/>
      <c r="G15" s="2">
        <v>5</v>
      </c>
      <c r="H15" s="127"/>
      <c r="L15" s="120"/>
      <c r="M15" s="120"/>
      <c r="N15" s="120"/>
      <c r="O15" s="120"/>
      <c r="P15" s="120"/>
      <c r="Q15" s="120"/>
      <c r="R15" s="120"/>
    </row>
    <row r="16" spans="1:18" x14ac:dyDescent="0.35">
      <c r="A16" s="6">
        <v>15</v>
      </c>
      <c r="B16" s="2">
        <v>120</v>
      </c>
      <c r="C16" s="2">
        <v>18</v>
      </c>
      <c r="D16" s="2">
        <v>30</v>
      </c>
      <c r="E16" s="90"/>
      <c r="F16" s="93"/>
      <c r="G16" s="2">
        <v>6</v>
      </c>
      <c r="H16" s="127"/>
    </row>
    <row r="17" spans="1:8" x14ac:dyDescent="0.35">
      <c r="A17" s="6">
        <v>16</v>
      </c>
      <c r="B17" s="2">
        <v>120</v>
      </c>
      <c r="C17" s="2">
        <v>18</v>
      </c>
      <c r="D17" s="2">
        <v>30</v>
      </c>
      <c r="E17" s="90"/>
      <c r="F17" s="93"/>
      <c r="G17" s="2">
        <v>7</v>
      </c>
      <c r="H17" s="127"/>
    </row>
    <row r="18" spans="1:8" x14ac:dyDescent="0.35">
      <c r="A18" s="6">
        <v>17</v>
      </c>
      <c r="B18" s="2">
        <v>120</v>
      </c>
      <c r="C18" s="2">
        <v>18</v>
      </c>
      <c r="D18" s="2">
        <v>30</v>
      </c>
      <c r="E18" s="90"/>
      <c r="F18" s="93"/>
      <c r="G18" s="2">
        <v>8</v>
      </c>
      <c r="H18" s="127"/>
    </row>
    <row r="19" spans="1:8" x14ac:dyDescent="0.35">
      <c r="A19" s="6">
        <v>18</v>
      </c>
      <c r="B19" s="2">
        <v>120</v>
      </c>
      <c r="C19" s="2">
        <v>18</v>
      </c>
      <c r="D19" s="2">
        <v>30</v>
      </c>
      <c r="E19" s="90"/>
      <c r="F19" s="93"/>
      <c r="G19" s="2">
        <v>9</v>
      </c>
      <c r="H19" s="127"/>
    </row>
    <row r="20" spans="1:8" x14ac:dyDescent="0.35">
      <c r="A20" s="6">
        <v>19</v>
      </c>
      <c r="B20" s="2">
        <v>120</v>
      </c>
      <c r="C20" s="2">
        <v>18</v>
      </c>
      <c r="D20" s="2">
        <v>30</v>
      </c>
      <c r="E20" s="91"/>
      <c r="F20" s="93"/>
      <c r="G20" s="2">
        <v>1</v>
      </c>
      <c r="H20" s="128"/>
    </row>
    <row r="21" spans="1:8" x14ac:dyDescent="0.35">
      <c r="A21" s="6">
        <v>20</v>
      </c>
      <c r="B21" s="2">
        <v>120</v>
      </c>
      <c r="C21" s="2">
        <v>18</v>
      </c>
      <c r="D21" s="2">
        <v>30</v>
      </c>
      <c r="E21" s="91"/>
      <c r="F21" s="93"/>
      <c r="G21" s="2">
        <v>2</v>
      </c>
      <c r="H21" s="128"/>
    </row>
    <row r="22" spans="1:8" x14ac:dyDescent="0.35">
      <c r="A22" s="6">
        <v>21</v>
      </c>
      <c r="B22" s="2">
        <v>120</v>
      </c>
      <c r="C22" s="2">
        <v>18</v>
      </c>
      <c r="D22" s="2">
        <v>30</v>
      </c>
      <c r="E22" s="91"/>
      <c r="F22" s="93"/>
      <c r="G22" s="2">
        <v>3</v>
      </c>
      <c r="H22" s="128"/>
    </row>
    <row r="23" spans="1:8" x14ac:dyDescent="0.35">
      <c r="A23" s="6">
        <v>22</v>
      </c>
      <c r="B23" s="2">
        <v>120</v>
      </c>
      <c r="C23" s="2">
        <v>18</v>
      </c>
      <c r="D23" s="2">
        <v>30</v>
      </c>
      <c r="E23" s="91"/>
      <c r="F23" s="93"/>
      <c r="G23" s="2">
        <v>4</v>
      </c>
      <c r="H23" s="128"/>
    </row>
    <row r="24" spans="1:8" x14ac:dyDescent="0.35">
      <c r="A24" s="6">
        <v>23</v>
      </c>
      <c r="B24" s="2">
        <v>120</v>
      </c>
      <c r="C24" s="2">
        <v>18</v>
      </c>
      <c r="D24" s="2">
        <v>30</v>
      </c>
      <c r="E24" s="91"/>
      <c r="F24" s="93"/>
      <c r="G24" s="2">
        <v>5</v>
      </c>
      <c r="H24" s="128"/>
    </row>
    <row r="25" spans="1:8" x14ac:dyDescent="0.35">
      <c r="A25" s="6">
        <v>24</v>
      </c>
      <c r="B25" s="2">
        <v>120</v>
      </c>
      <c r="C25" s="2">
        <v>18</v>
      </c>
      <c r="D25" s="2">
        <v>30</v>
      </c>
      <c r="E25" s="91"/>
      <c r="F25" s="93"/>
      <c r="G25" s="2">
        <v>6</v>
      </c>
      <c r="H25" s="127"/>
    </row>
    <row r="26" spans="1:8" x14ac:dyDescent="0.35">
      <c r="A26" s="6">
        <v>25</v>
      </c>
      <c r="B26" s="2">
        <v>120</v>
      </c>
      <c r="C26" s="2">
        <v>18</v>
      </c>
      <c r="D26" s="2">
        <v>30</v>
      </c>
      <c r="E26" s="91"/>
      <c r="F26" s="93"/>
      <c r="G26" s="2">
        <v>7</v>
      </c>
      <c r="H26" s="127"/>
    </row>
    <row r="27" spans="1:8" x14ac:dyDescent="0.35">
      <c r="A27" s="6">
        <v>26</v>
      </c>
      <c r="B27" s="2">
        <v>120</v>
      </c>
      <c r="C27" s="2">
        <v>18</v>
      </c>
      <c r="D27" s="2">
        <v>30</v>
      </c>
      <c r="E27" s="91"/>
      <c r="F27" s="93"/>
      <c r="G27" s="2">
        <v>8</v>
      </c>
      <c r="H27" s="127"/>
    </row>
    <row r="28" spans="1:8" x14ac:dyDescent="0.35">
      <c r="A28" s="6">
        <v>27</v>
      </c>
      <c r="B28" s="2">
        <v>120</v>
      </c>
      <c r="C28" s="2">
        <v>18</v>
      </c>
      <c r="D28" s="2">
        <v>30</v>
      </c>
      <c r="E28" s="91"/>
      <c r="F28" s="93"/>
      <c r="G28" s="2">
        <v>9</v>
      </c>
      <c r="H28" s="127"/>
    </row>
    <row r="29" spans="1:8" x14ac:dyDescent="0.35">
      <c r="A29" s="6">
        <v>28</v>
      </c>
      <c r="B29" s="2">
        <v>120</v>
      </c>
      <c r="C29" s="2">
        <v>18</v>
      </c>
      <c r="D29" s="2">
        <v>30</v>
      </c>
      <c r="E29" s="92"/>
      <c r="F29" s="14"/>
      <c r="G29" s="2">
        <v>1</v>
      </c>
      <c r="H29" s="128"/>
    </row>
    <row r="30" spans="1:8" x14ac:dyDescent="0.35">
      <c r="A30" s="6">
        <v>29</v>
      </c>
      <c r="B30" s="2">
        <v>120</v>
      </c>
      <c r="C30" s="2">
        <v>18</v>
      </c>
      <c r="D30" s="2">
        <v>30</v>
      </c>
      <c r="E30" s="92"/>
      <c r="F30" s="14"/>
      <c r="G30" s="2">
        <v>2</v>
      </c>
      <c r="H30" s="128"/>
    </row>
    <row r="31" spans="1:8" x14ac:dyDescent="0.35">
      <c r="A31" s="6">
        <v>30</v>
      </c>
      <c r="B31" s="2">
        <v>120</v>
      </c>
      <c r="C31" s="2">
        <v>18</v>
      </c>
      <c r="D31" s="2">
        <v>30</v>
      </c>
      <c r="E31" s="92"/>
      <c r="F31" s="14"/>
      <c r="G31" s="2">
        <v>3</v>
      </c>
      <c r="H31" s="128"/>
    </row>
    <row r="32" spans="1:8" x14ac:dyDescent="0.35">
      <c r="A32" s="6">
        <v>31</v>
      </c>
      <c r="B32" s="2">
        <v>120</v>
      </c>
      <c r="C32" s="2">
        <v>18</v>
      </c>
      <c r="D32" s="2">
        <v>30</v>
      </c>
      <c r="E32" s="92"/>
      <c r="F32" s="14"/>
      <c r="G32" s="2">
        <v>4</v>
      </c>
      <c r="H32" s="127"/>
    </row>
    <row r="33" spans="1:8" x14ac:dyDescent="0.35">
      <c r="A33" s="6">
        <v>32</v>
      </c>
      <c r="B33" s="2">
        <v>120</v>
      </c>
      <c r="C33" s="2">
        <v>18</v>
      </c>
      <c r="D33" s="2">
        <v>30</v>
      </c>
      <c r="E33" s="92"/>
      <c r="F33" s="14"/>
      <c r="G33" s="2">
        <v>5</v>
      </c>
      <c r="H33" s="127"/>
    </row>
    <row r="34" spans="1:8" x14ac:dyDescent="0.35">
      <c r="A34" s="6">
        <v>33</v>
      </c>
      <c r="B34" s="2">
        <v>120</v>
      </c>
      <c r="C34" s="2">
        <v>18</v>
      </c>
      <c r="D34" s="2">
        <v>30</v>
      </c>
      <c r="E34" s="94"/>
      <c r="F34" s="119"/>
      <c r="G34" s="2">
        <v>6</v>
      </c>
      <c r="H34" s="127"/>
    </row>
    <row r="35" spans="1:8" x14ac:dyDescent="0.35">
      <c r="A35" s="6">
        <v>34</v>
      </c>
      <c r="B35" s="2">
        <v>120</v>
      </c>
      <c r="C35" s="2">
        <v>18</v>
      </c>
      <c r="D35" s="2">
        <v>30</v>
      </c>
      <c r="E35" s="94"/>
      <c r="F35" s="119"/>
      <c r="G35" s="2">
        <v>7</v>
      </c>
      <c r="H35" s="127"/>
    </row>
    <row r="36" spans="1:8" x14ac:dyDescent="0.35">
      <c r="A36" s="6">
        <v>35</v>
      </c>
      <c r="B36" s="2">
        <v>120</v>
      </c>
      <c r="C36" s="2">
        <v>18</v>
      </c>
      <c r="D36" s="2">
        <v>30</v>
      </c>
      <c r="E36" s="94"/>
      <c r="F36" s="119"/>
      <c r="G36" s="2">
        <v>8</v>
      </c>
      <c r="H36" s="127"/>
    </row>
    <row r="37" spans="1:8" x14ac:dyDescent="0.35">
      <c r="A37" s="6">
        <v>36</v>
      </c>
      <c r="B37" s="2">
        <v>120</v>
      </c>
      <c r="C37" s="2">
        <v>18</v>
      </c>
      <c r="D37" s="2">
        <v>30</v>
      </c>
      <c r="E37" s="94"/>
      <c r="F37" s="119"/>
      <c r="G37" s="2">
        <v>9</v>
      </c>
      <c r="H37" s="127"/>
    </row>
    <row r="38" spans="1:8" x14ac:dyDescent="0.35">
      <c r="A38" s="6">
        <v>37</v>
      </c>
      <c r="B38" s="2">
        <v>120</v>
      </c>
      <c r="C38" s="2">
        <v>18</v>
      </c>
      <c r="D38" s="2">
        <v>30</v>
      </c>
      <c r="E38" s="90"/>
      <c r="F38" s="119"/>
      <c r="G38" s="2">
        <v>1</v>
      </c>
      <c r="H38" s="128"/>
    </row>
    <row r="39" spans="1:8" x14ac:dyDescent="0.35">
      <c r="A39" s="6">
        <v>38</v>
      </c>
      <c r="B39" s="2">
        <v>120</v>
      </c>
      <c r="C39" s="2">
        <v>18</v>
      </c>
      <c r="D39" s="2">
        <v>30</v>
      </c>
      <c r="E39" s="90"/>
      <c r="F39" s="119"/>
      <c r="G39" s="2">
        <v>2</v>
      </c>
      <c r="H39" s="128"/>
    </row>
    <row r="40" spans="1:8" x14ac:dyDescent="0.35">
      <c r="A40" s="6">
        <v>39</v>
      </c>
      <c r="B40" s="2">
        <v>120</v>
      </c>
      <c r="C40" s="2">
        <v>18</v>
      </c>
      <c r="D40" s="2">
        <v>30</v>
      </c>
      <c r="E40" s="90"/>
      <c r="F40" s="119"/>
      <c r="G40" s="2">
        <v>3</v>
      </c>
      <c r="H40" s="128"/>
    </row>
    <row r="41" spans="1:8" x14ac:dyDescent="0.35">
      <c r="A41" s="6">
        <v>40</v>
      </c>
      <c r="B41" s="2">
        <v>120</v>
      </c>
      <c r="C41" s="2">
        <v>18</v>
      </c>
      <c r="D41" s="2">
        <v>30</v>
      </c>
      <c r="E41" s="90"/>
      <c r="F41" s="119"/>
      <c r="G41" s="2">
        <v>4</v>
      </c>
      <c r="H41" s="128"/>
    </row>
    <row r="42" spans="1:8" x14ac:dyDescent="0.35">
      <c r="A42" s="6">
        <v>41</v>
      </c>
      <c r="B42" s="2">
        <v>120</v>
      </c>
      <c r="C42" s="2">
        <v>18</v>
      </c>
      <c r="D42" s="2">
        <v>30</v>
      </c>
      <c r="E42" s="90"/>
      <c r="F42" s="119"/>
      <c r="G42" s="2">
        <v>5</v>
      </c>
      <c r="H42" s="128"/>
    </row>
    <row r="43" spans="1:8" x14ac:dyDescent="0.35">
      <c r="A43" s="6">
        <v>42</v>
      </c>
      <c r="B43" s="2">
        <v>120</v>
      </c>
      <c r="C43" s="2">
        <v>18</v>
      </c>
      <c r="D43" s="2">
        <v>30</v>
      </c>
      <c r="E43" s="90"/>
      <c r="F43" s="119"/>
      <c r="G43" s="2">
        <v>6</v>
      </c>
      <c r="H43" s="128"/>
    </row>
    <row r="44" spans="1:8" x14ac:dyDescent="0.35">
      <c r="A44" s="6">
        <v>43</v>
      </c>
      <c r="B44" s="2">
        <v>120</v>
      </c>
      <c r="C44" s="2">
        <v>18</v>
      </c>
      <c r="D44" s="2">
        <v>30</v>
      </c>
      <c r="E44" s="90"/>
      <c r="F44" s="119"/>
      <c r="G44" s="2">
        <v>7</v>
      </c>
      <c r="H44" s="128"/>
    </row>
    <row r="45" spans="1:8" x14ac:dyDescent="0.35">
      <c r="A45" s="6">
        <v>44</v>
      </c>
      <c r="B45" s="2">
        <v>120</v>
      </c>
      <c r="C45" s="2">
        <v>18</v>
      </c>
      <c r="D45" s="2">
        <v>30</v>
      </c>
      <c r="E45" s="90"/>
      <c r="F45" s="119"/>
      <c r="G45" s="2">
        <v>8</v>
      </c>
      <c r="H45" s="127"/>
    </row>
    <row r="46" spans="1:8" x14ac:dyDescent="0.35">
      <c r="A46" s="6">
        <v>45</v>
      </c>
      <c r="B46" s="2">
        <v>120</v>
      </c>
      <c r="C46" s="2">
        <v>18</v>
      </c>
      <c r="D46" s="2">
        <v>30</v>
      </c>
      <c r="E46" s="90"/>
      <c r="F46" s="119"/>
      <c r="G46" s="2">
        <v>9</v>
      </c>
      <c r="H46" s="127"/>
    </row>
    <row r="47" spans="1:8" x14ac:dyDescent="0.35">
      <c r="A47" s="6">
        <v>46</v>
      </c>
      <c r="B47" s="2">
        <v>120</v>
      </c>
      <c r="C47" s="2">
        <v>18</v>
      </c>
      <c r="D47" s="2">
        <v>30</v>
      </c>
      <c r="E47" s="91"/>
      <c r="F47" s="119"/>
      <c r="G47" s="2">
        <v>1</v>
      </c>
      <c r="H47" s="128"/>
    </row>
    <row r="48" spans="1:8" x14ac:dyDescent="0.35">
      <c r="A48" s="6">
        <v>47</v>
      </c>
      <c r="B48" s="2">
        <v>120</v>
      </c>
      <c r="C48" s="2">
        <v>18</v>
      </c>
      <c r="D48" s="2">
        <v>30</v>
      </c>
      <c r="E48" s="91"/>
      <c r="F48" s="119"/>
      <c r="G48" s="2">
        <v>2</v>
      </c>
      <c r="H48" s="128"/>
    </row>
    <row r="49" spans="1:8" x14ac:dyDescent="0.35">
      <c r="A49" s="6">
        <v>48</v>
      </c>
      <c r="B49" s="2">
        <v>120</v>
      </c>
      <c r="C49" s="2">
        <v>18</v>
      </c>
      <c r="D49" s="2">
        <v>30</v>
      </c>
      <c r="E49" s="91"/>
      <c r="F49" s="119"/>
      <c r="G49" s="2">
        <v>3</v>
      </c>
      <c r="H49" s="128"/>
    </row>
    <row r="50" spans="1:8" x14ac:dyDescent="0.35">
      <c r="A50" s="6">
        <v>49</v>
      </c>
      <c r="B50" s="2">
        <v>120</v>
      </c>
      <c r="C50" s="2">
        <v>18</v>
      </c>
      <c r="D50" s="2">
        <v>30</v>
      </c>
      <c r="E50" s="91"/>
      <c r="F50" s="119"/>
      <c r="G50" s="2">
        <v>4</v>
      </c>
      <c r="H50" s="128"/>
    </row>
    <row r="51" spans="1:8" x14ac:dyDescent="0.35">
      <c r="A51" s="6">
        <v>50</v>
      </c>
      <c r="B51" s="2">
        <v>120</v>
      </c>
      <c r="C51" s="2">
        <v>18</v>
      </c>
      <c r="D51" s="2">
        <v>30</v>
      </c>
      <c r="E51" s="91"/>
      <c r="F51" s="119"/>
      <c r="G51" s="2">
        <v>5</v>
      </c>
      <c r="H51" s="128"/>
    </row>
    <row r="52" spans="1:8" x14ac:dyDescent="0.35">
      <c r="A52" s="6">
        <v>51</v>
      </c>
      <c r="B52" s="2">
        <v>120</v>
      </c>
      <c r="C52" s="2">
        <v>18</v>
      </c>
      <c r="D52" s="2">
        <v>30</v>
      </c>
      <c r="E52" s="91"/>
      <c r="F52" s="119"/>
      <c r="G52" s="2">
        <v>6</v>
      </c>
      <c r="H52" s="128"/>
    </row>
    <row r="53" spans="1:8" x14ac:dyDescent="0.35">
      <c r="A53" s="6">
        <v>52</v>
      </c>
      <c r="B53" s="2">
        <v>120</v>
      </c>
      <c r="C53" s="2">
        <v>18</v>
      </c>
      <c r="D53" s="2">
        <v>30</v>
      </c>
      <c r="E53" s="91"/>
      <c r="F53" s="119"/>
      <c r="G53" s="2">
        <v>7</v>
      </c>
      <c r="H53" s="128"/>
    </row>
    <row r="54" spans="1:8" x14ac:dyDescent="0.35">
      <c r="A54" s="6">
        <v>53</v>
      </c>
      <c r="B54" s="2">
        <v>120</v>
      </c>
      <c r="C54" s="2">
        <v>18</v>
      </c>
      <c r="D54" s="2">
        <v>30</v>
      </c>
      <c r="E54" s="91"/>
      <c r="F54" s="119"/>
      <c r="G54" s="2">
        <v>8</v>
      </c>
      <c r="H54" s="127"/>
    </row>
    <row r="55" spans="1:8" ht="15" thickBot="1" x14ac:dyDescent="0.4">
      <c r="A55" s="7">
        <v>54</v>
      </c>
      <c r="B55" s="8">
        <v>120</v>
      </c>
      <c r="C55" s="8">
        <v>18</v>
      </c>
      <c r="D55" s="8">
        <v>30</v>
      </c>
      <c r="E55" s="129"/>
      <c r="F55" s="130"/>
      <c r="G55" s="8">
        <v>9</v>
      </c>
      <c r="H55" s="13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a544851-6415-45a2-89c0-c42b37507f56">
      <Terms xmlns="http://schemas.microsoft.com/office/infopath/2007/PartnerControls"/>
    </lcf76f155ced4ddcb4097134ff3c332f>
    <TaxCatchAll xmlns="341fc854-0bf5-4d49-adb9-5b631e8899e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53E4047DF33149A6D0E8778B50512D" ma:contentTypeVersion="11" ma:contentTypeDescription="Create a new document." ma:contentTypeScope="" ma:versionID="a8500983ff420c963eb7eb93075be7e4">
  <xsd:schema xmlns:xsd="http://www.w3.org/2001/XMLSchema" xmlns:xs="http://www.w3.org/2001/XMLSchema" xmlns:p="http://schemas.microsoft.com/office/2006/metadata/properties" xmlns:ns2="da544851-6415-45a2-89c0-c42b37507f56" xmlns:ns3="341fc854-0bf5-4d49-adb9-5b631e8899e0" targetNamespace="http://schemas.microsoft.com/office/2006/metadata/properties" ma:root="true" ma:fieldsID="b8dabb8d8ef0a4ead51e21a4276d9648" ns2:_="" ns3:_="">
    <xsd:import namespace="da544851-6415-45a2-89c0-c42b37507f56"/>
    <xsd:import namespace="341fc854-0bf5-4d49-adb9-5b631e8899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544851-6415-45a2-89c0-c42b37507f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ec41815-f866-473a-a3ba-291165dbb83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41fc854-0bf5-4d49-adb9-5b631e8899e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9320350-488e-4c72-aa38-d987d7546afd}" ma:internalName="TaxCatchAll" ma:showField="CatchAllData" ma:web="341fc854-0bf5-4d49-adb9-5b631e889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789B99-551B-40D9-8B82-28532257C44F}">
  <ds:schemaRefs>
    <ds:schemaRef ds:uri="http://schemas.microsoft.com/sharepoint/v3/contenttype/forms"/>
  </ds:schemaRefs>
</ds:datastoreItem>
</file>

<file path=customXml/itemProps2.xml><?xml version="1.0" encoding="utf-8"?>
<ds:datastoreItem xmlns:ds="http://schemas.openxmlformats.org/officeDocument/2006/customXml" ds:itemID="{0947B589-E2CE-44FE-B36B-304946EFCC7D}">
  <ds:schemaRefs>
    <ds:schemaRef ds:uri="http://purl.org/dc/elements/1.1/"/>
    <ds:schemaRef ds:uri="341fc854-0bf5-4d49-adb9-5b631e8899e0"/>
    <ds:schemaRef ds:uri="http://purl.org/dc/dcmitype/"/>
    <ds:schemaRef ds:uri="http://schemas.microsoft.com/office/2006/documentManagement/types"/>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da544851-6415-45a2-89c0-c42b37507f56"/>
  </ds:schemaRefs>
</ds:datastoreItem>
</file>

<file path=customXml/itemProps3.xml><?xml version="1.0" encoding="utf-8"?>
<ds:datastoreItem xmlns:ds="http://schemas.openxmlformats.org/officeDocument/2006/customXml" ds:itemID="{8FA490DF-3BDB-42B8-9222-98FA4E72C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544851-6415-45a2-89c0-c42b37507f56"/>
    <ds:schemaRef ds:uri="341fc854-0bf5-4d49-adb9-5b631e889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 Inputs</vt:lpstr>
      <vt:lpstr>Tuning Guide</vt:lpstr>
      <vt:lpstr>Help</vt:lpstr>
      <vt:lpstr>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 Kissinger</dc:creator>
  <cp:keywords/>
  <dc:description/>
  <cp:lastModifiedBy>Nathan Kissinger</cp:lastModifiedBy>
  <cp:revision/>
  <dcterms:created xsi:type="dcterms:W3CDTF">2026-01-18T22:17:48Z</dcterms:created>
  <dcterms:modified xsi:type="dcterms:W3CDTF">2026-04-16T21:57:57Z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0x010100ED53E4047DF33149A6D0E8778B50512D</vt:lpwstr>
  </property>
  <property fmtid="{D5CDD505-2E9C-101B-9397-08002B2CF9AE}" pid="3" name="MediaServiceImageTags">
    <vt:lpwstr/>
  </property>
</Properties>
</file>